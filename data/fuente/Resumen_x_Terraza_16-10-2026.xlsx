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TER\Desktop\"/>
    </mc:Choice>
  </mc:AlternateContent>
  <xr:revisionPtr revIDLastSave="0" documentId="8_{CFCB846F-65F5-43D6-9195-2D4765FAA802}" xr6:coauthVersionLast="47" xr6:coauthVersionMax="47" xr10:uidLastSave="{00000000-0000-0000-0000-000000000000}"/>
  <bookViews>
    <workbookView xWindow="28680" yWindow="-120" windowWidth="29040" windowHeight="15720" xr2:uid="{4C8D61FA-EFE2-4236-9E86-78162364AAD6}"/>
  </bookViews>
  <sheets>
    <sheet name="RESUMEN PRESENTACION" sheetId="1" r:id="rId1"/>
  </sheets>
  <externalReferences>
    <externalReference r:id="rId2"/>
  </externalReferences>
  <definedNames>
    <definedName name="_xlnm.Print_Area" localSheetId="0">'RESUMEN PRESENTACION'!$A$1:$N$73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1" i="1" l="1"/>
  <c r="G71" i="1"/>
  <c r="F71" i="1"/>
  <c r="E71" i="1"/>
  <c r="D71" i="1"/>
  <c r="C71" i="1"/>
  <c r="H70" i="1"/>
  <c r="G70" i="1"/>
  <c r="F70" i="1"/>
  <c r="E70" i="1"/>
  <c r="D70" i="1"/>
  <c r="C70" i="1"/>
  <c r="H69" i="1"/>
  <c r="G69" i="1"/>
  <c r="F69" i="1"/>
  <c r="E69" i="1"/>
  <c r="D69" i="1"/>
  <c r="C69" i="1"/>
  <c r="H68" i="1"/>
  <c r="G68" i="1"/>
  <c r="F68" i="1"/>
  <c r="E68" i="1"/>
  <c r="D68" i="1"/>
  <c r="C68" i="1"/>
  <c r="H67" i="1"/>
  <c r="G67" i="1"/>
  <c r="F67" i="1"/>
  <c r="E67" i="1"/>
  <c r="D67" i="1"/>
  <c r="C67" i="1"/>
  <c r="H66" i="1"/>
  <c r="G66" i="1"/>
  <c r="F66" i="1"/>
  <c r="E66" i="1"/>
  <c r="D66" i="1"/>
  <c r="C66" i="1"/>
  <c r="H65" i="1"/>
  <c r="G65" i="1"/>
  <c r="F65" i="1"/>
  <c r="E65" i="1"/>
  <c r="D65" i="1"/>
  <c r="C65" i="1"/>
  <c r="H64" i="1"/>
  <c r="G64" i="1"/>
  <c r="F64" i="1"/>
  <c r="E64" i="1"/>
  <c r="D64" i="1"/>
  <c r="C64" i="1"/>
  <c r="H63" i="1"/>
  <c r="G63" i="1"/>
  <c r="F63" i="1"/>
  <c r="E63" i="1"/>
  <c r="D63" i="1"/>
  <c r="C63" i="1"/>
  <c r="H62" i="1"/>
  <c r="G62" i="1"/>
  <c r="F62" i="1"/>
  <c r="E62" i="1"/>
  <c r="D62" i="1"/>
  <c r="C62" i="1"/>
  <c r="H61" i="1"/>
  <c r="G61" i="1"/>
  <c r="F61" i="1"/>
  <c r="E61" i="1"/>
  <c r="D61" i="1"/>
  <c r="C61" i="1"/>
  <c r="H60" i="1"/>
  <c r="G60" i="1"/>
  <c r="F60" i="1"/>
  <c r="E60" i="1"/>
  <c r="D60" i="1"/>
  <c r="C60" i="1"/>
  <c r="H59" i="1"/>
  <c r="G59" i="1"/>
  <c r="F59" i="1"/>
  <c r="E59" i="1"/>
  <c r="D59" i="1"/>
  <c r="C59" i="1"/>
  <c r="H58" i="1"/>
  <c r="G58" i="1"/>
  <c r="F58" i="1"/>
  <c r="E58" i="1"/>
  <c r="D58" i="1"/>
  <c r="C58" i="1"/>
  <c r="H57" i="1"/>
  <c r="G57" i="1"/>
  <c r="F57" i="1"/>
  <c r="E57" i="1"/>
  <c r="D57" i="1"/>
  <c r="C57" i="1"/>
  <c r="H56" i="1"/>
  <c r="G56" i="1"/>
  <c r="F56" i="1"/>
  <c r="E56" i="1"/>
  <c r="D56" i="1"/>
  <c r="C56" i="1"/>
  <c r="H55" i="1"/>
  <c r="G55" i="1"/>
  <c r="F55" i="1"/>
  <c r="E55" i="1"/>
  <c r="D55" i="1"/>
  <c r="C55" i="1"/>
  <c r="H54" i="1"/>
  <c r="G54" i="1"/>
  <c r="F54" i="1"/>
  <c r="E54" i="1"/>
  <c r="D54" i="1"/>
  <c r="H53" i="1"/>
  <c r="G53" i="1"/>
  <c r="F53" i="1"/>
  <c r="E53" i="1"/>
  <c r="D53" i="1"/>
  <c r="H52" i="1"/>
  <c r="G52" i="1"/>
  <c r="F52" i="1"/>
  <c r="E52" i="1"/>
  <c r="D52" i="1"/>
  <c r="H51" i="1"/>
  <c r="G51" i="1"/>
  <c r="F51" i="1"/>
  <c r="E51" i="1"/>
  <c r="D51" i="1"/>
  <c r="H50" i="1"/>
  <c r="G50" i="1"/>
  <c r="F50" i="1"/>
  <c r="E50" i="1"/>
  <c r="D50" i="1"/>
  <c r="H49" i="1"/>
  <c r="G49" i="1"/>
  <c r="F49" i="1"/>
  <c r="E49" i="1"/>
  <c r="D49" i="1"/>
  <c r="H48" i="1"/>
  <c r="G48" i="1"/>
  <c r="F48" i="1"/>
  <c r="E48" i="1"/>
  <c r="D48" i="1"/>
  <c r="H47" i="1"/>
  <c r="G47" i="1"/>
  <c r="F47" i="1"/>
  <c r="E47" i="1"/>
  <c r="D47" i="1"/>
  <c r="H46" i="1"/>
  <c r="G46" i="1"/>
  <c r="F46" i="1"/>
  <c r="E46" i="1"/>
  <c r="D46" i="1"/>
  <c r="H45" i="1"/>
  <c r="G45" i="1"/>
  <c r="F45" i="1"/>
  <c r="E45" i="1"/>
  <c r="D45" i="1"/>
  <c r="N44" i="1"/>
  <c r="M44" i="1"/>
  <c r="L44" i="1"/>
  <c r="K44" i="1"/>
  <c r="H44" i="1"/>
  <c r="G44" i="1"/>
  <c r="F44" i="1"/>
  <c r="E44" i="1"/>
  <c r="D44" i="1"/>
  <c r="N43" i="1"/>
  <c r="M43" i="1"/>
  <c r="L43" i="1"/>
  <c r="K43" i="1"/>
  <c r="H43" i="1"/>
  <c r="G43" i="1"/>
  <c r="F43" i="1"/>
  <c r="E43" i="1"/>
  <c r="D43" i="1"/>
  <c r="N42" i="1"/>
  <c r="M42" i="1"/>
  <c r="L42" i="1"/>
  <c r="K42" i="1"/>
  <c r="H42" i="1"/>
  <c r="G42" i="1"/>
  <c r="F42" i="1"/>
  <c r="E42" i="1"/>
  <c r="D42" i="1"/>
  <c r="N41" i="1"/>
  <c r="M41" i="1"/>
  <c r="L41" i="1"/>
  <c r="K41" i="1"/>
  <c r="H41" i="1"/>
  <c r="G41" i="1"/>
  <c r="F41" i="1"/>
  <c r="E41" i="1"/>
  <c r="D41" i="1"/>
  <c r="N40" i="1"/>
  <c r="M40" i="1"/>
  <c r="L40" i="1"/>
  <c r="K40" i="1"/>
  <c r="H40" i="1"/>
  <c r="G40" i="1"/>
  <c r="F40" i="1"/>
  <c r="E40" i="1"/>
  <c r="D40" i="1"/>
  <c r="N39" i="1"/>
  <c r="M39" i="1"/>
  <c r="L39" i="1"/>
  <c r="K39" i="1"/>
  <c r="H39" i="1"/>
  <c r="G39" i="1"/>
  <c r="F39" i="1"/>
  <c r="E39" i="1"/>
  <c r="D39" i="1"/>
  <c r="N38" i="1"/>
  <c r="M38" i="1"/>
  <c r="L38" i="1"/>
  <c r="K38" i="1"/>
  <c r="H38" i="1"/>
  <c r="G38" i="1"/>
  <c r="F38" i="1"/>
  <c r="E38" i="1"/>
  <c r="D38" i="1"/>
  <c r="N37" i="1"/>
  <c r="M37" i="1"/>
  <c r="L37" i="1"/>
  <c r="K37" i="1"/>
  <c r="H37" i="1"/>
  <c r="G37" i="1"/>
  <c r="F37" i="1"/>
  <c r="E37" i="1"/>
  <c r="D37" i="1"/>
  <c r="N36" i="1"/>
  <c r="M36" i="1"/>
  <c r="L36" i="1"/>
  <c r="K36" i="1"/>
  <c r="H36" i="1"/>
  <c r="G36" i="1"/>
  <c r="F36" i="1"/>
  <c r="E36" i="1"/>
  <c r="D36" i="1"/>
  <c r="N35" i="1"/>
  <c r="M35" i="1"/>
  <c r="L35" i="1"/>
  <c r="K35" i="1"/>
  <c r="H35" i="1"/>
  <c r="G35" i="1"/>
  <c r="F35" i="1"/>
  <c r="E35" i="1"/>
  <c r="D35" i="1"/>
  <c r="N34" i="1"/>
  <c r="M34" i="1"/>
  <c r="L34" i="1"/>
  <c r="K34" i="1"/>
  <c r="H34" i="1"/>
  <c r="G34" i="1"/>
  <c r="F34" i="1"/>
  <c r="E34" i="1"/>
  <c r="D34" i="1"/>
  <c r="N33" i="1"/>
  <c r="M33" i="1"/>
  <c r="L33" i="1"/>
  <c r="K33" i="1"/>
  <c r="H33" i="1"/>
  <c r="G33" i="1"/>
  <c r="F33" i="1"/>
  <c r="E33" i="1"/>
  <c r="D33" i="1"/>
  <c r="N32" i="1"/>
  <c r="M32" i="1"/>
  <c r="L32" i="1"/>
  <c r="K32" i="1"/>
  <c r="H32" i="1"/>
  <c r="G32" i="1"/>
  <c r="F32" i="1"/>
  <c r="E32" i="1"/>
  <c r="D32" i="1"/>
  <c r="N31" i="1"/>
  <c r="M31" i="1"/>
  <c r="L31" i="1"/>
  <c r="K31" i="1"/>
  <c r="H31" i="1"/>
  <c r="G31" i="1"/>
  <c r="F31" i="1"/>
  <c r="E31" i="1"/>
  <c r="D31" i="1"/>
  <c r="N30" i="1"/>
  <c r="M30" i="1"/>
  <c r="L30" i="1"/>
  <c r="K30" i="1"/>
  <c r="H30" i="1"/>
  <c r="G30" i="1"/>
  <c r="F30" i="1"/>
  <c r="E30" i="1"/>
  <c r="D30" i="1"/>
  <c r="N29" i="1"/>
  <c r="M29" i="1"/>
  <c r="L29" i="1"/>
  <c r="K29" i="1"/>
  <c r="H29" i="1"/>
  <c r="G29" i="1"/>
  <c r="F29" i="1"/>
  <c r="E29" i="1"/>
  <c r="D29" i="1"/>
  <c r="N28" i="1"/>
  <c r="M28" i="1"/>
  <c r="L28" i="1"/>
  <c r="K28" i="1"/>
  <c r="H28" i="1"/>
  <c r="G28" i="1"/>
  <c r="F28" i="1"/>
  <c r="E28" i="1"/>
  <c r="D28" i="1"/>
  <c r="N27" i="1"/>
  <c r="M27" i="1"/>
  <c r="L27" i="1"/>
  <c r="K27" i="1"/>
  <c r="H27" i="1"/>
  <c r="G27" i="1"/>
  <c r="F27" i="1"/>
  <c r="E27" i="1"/>
  <c r="D27" i="1"/>
  <c r="N26" i="1"/>
  <c r="M26" i="1"/>
  <c r="L26" i="1"/>
  <c r="K26" i="1"/>
  <c r="H26" i="1"/>
  <c r="G26" i="1"/>
  <c r="F26" i="1"/>
  <c r="E26" i="1"/>
  <c r="D26" i="1"/>
  <c r="N25" i="1"/>
  <c r="M25" i="1"/>
  <c r="L25" i="1"/>
  <c r="K25" i="1"/>
  <c r="H25" i="1"/>
  <c r="G25" i="1"/>
  <c r="F25" i="1"/>
  <c r="E25" i="1"/>
  <c r="D25" i="1"/>
  <c r="N24" i="1"/>
  <c r="M24" i="1"/>
  <c r="L24" i="1"/>
  <c r="K24" i="1"/>
  <c r="H24" i="1"/>
  <c r="G24" i="1"/>
  <c r="F24" i="1"/>
  <c r="E24" i="1"/>
  <c r="D24" i="1"/>
  <c r="N23" i="1"/>
  <c r="M23" i="1"/>
  <c r="L23" i="1"/>
  <c r="K23" i="1"/>
  <c r="H23" i="1"/>
  <c r="G23" i="1"/>
  <c r="F23" i="1"/>
  <c r="E23" i="1"/>
  <c r="D23" i="1"/>
  <c r="N22" i="1"/>
  <c r="M22" i="1"/>
  <c r="L22" i="1"/>
  <c r="K22" i="1"/>
  <c r="H22" i="1"/>
  <c r="G22" i="1"/>
  <c r="F22" i="1"/>
  <c r="E22" i="1"/>
  <c r="D22" i="1"/>
  <c r="N21" i="1"/>
  <c r="M21" i="1"/>
  <c r="L21" i="1"/>
  <c r="K21" i="1"/>
  <c r="H21" i="1"/>
  <c r="G21" i="1"/>
  <c r="F21" i="1"/>
  <c r="E21" i="1"/>
  <c r="D21" i="1"/>
  <c r="N20" i="1"/>
  <c r="M20" i="1"/>
  <c r="L20" i="1"/>
  <c r="K20" i="1"/>
  <c r="H20" i="1"/>
  <c r="G20" i="1"/>
  <c r="F20" i="1"/>
  <c r="E20" i="1"/>
  <c r="D20" i="1"/>
  <c r="N19" i="1"/>
  <c r="M19" i="1"/>
  <c r="L19" i="1"/>
  <c r="K19" i="1"/>
  <c r="H19" i="1"/>
  <c r="G19" i="1"/>
  <c r="F19" i="1"/>
  <c r="E19" i="1"/>
  <c r="D19" i="1"/>
  <c r="N18" i="1"/>
  <c r="M18" i="1"/>
  <c r="L18" i="1"/>
  <c r="K18" i="1"/>
  <c r="H18" i="1"/>
  <c r="G18" i="1"/>
  <c r="F18" i="1"/>
  <c r="E18" i="1"/>
  <c r="D18" i="1"/>
  <c r="N17" i="1"/>
  <c r="M17" i="1"/>
  <c r="L17" i="1"/>
  <c r="K17" i="1"/>
  <c r="H17" i="1"/>
  <c r="G17" i="1"/>
  <c r="F17" i="1"/>
  <c r="E17" i="1"/>
  <c r="D17" i="1"/>
  <c r="N16" i="1"/>
  <c r="M16" i="1"/>
  <c r="L16" i="1"/>
  <c r="K16" i="1"/>
  <c r="H16" i="1"/>
  <c r="G16" i="1"/>
  <c r="F16" i="1"/>
  <c r="E16" i="1"/>
  <c r="D16" i="1"/>
  <c r="N15" i="1"/>
  <c r="M15" i="1"/>
  <c r="L15" i="1"/>
  <c r="K15" i="1"/>
  <c r="H15" i="1"/>
  <c r="G15" i="1"/>
  <c r="F15" i="1"/>
  <c r="E15" i="1"/>
  <c r="D15" i="1"/>
  <c r="N14" i="1"/>
  <c r="M14" i="1"/>
  <c r="M6" i="1" s="1"/>
  <c r="L14" i="1"/>
  <c r="L45" i="1" s="1"/>
  <c r="K14" i="1"/>
  <c r="K45" i="1" s="1"/>
  <c r="H14" i="1"/>
  <c r="G14" i="1"/>
  <c r="G72" i="1" s="1"/>
  <c r="F14" i="1"/>
  <c r="F72" i="1" s="1"/>
  <c r="E14" i="1"/>
  <c r="E72" i="1" s="1"/>
  <c r="D14" i="1"/>
  <c r="C14" i="1"/>
  <c r="H13" i="1"/>
  <c r="G13" i="1"/>
  <c r="F13" i="1"/>
  <c r="E13" i="1"/>
  <c r="D13" i="1"/>
  <c r="G7" i="1"/>
  <c r="F7" i="1"/>
  <c r="E7" i="1"/>
  <c r="E9" i="1" s="1"/>
  <c r="G6" i="1"/>
  <c r="F6" i="1"/>
  <c r="E6" i="1"/>
  <c r="N5" i="1"/>
  <c r="J5" i="1"/>
  <c r="G5" i="1"/>
  <c r="F5" i="1"/>
  <c r="E5" i="1"/>
  <c r="M7" i="1" l="1"/>
  <c r="N7" i="1" s="1"/>
  <c r="M45" i="1"/>
  <c r="L6" i="1"/>
  <c r="L7" i="1" s="1"/>
  <c r="L9" i="1" l="1"/>
  <c r="N6" i="1"/>
</calcChain>
</file>

<file path=xl/sharedStrings.xml><?xml version="1.0" encoding="utf-8"?>
<sst xmlns="http://schemas.openxmlformats.org/spreadsheetml/2006/main" count="60" uniqueCount="48">
  <si>
    <t>CONTROL DIARIO MOV TIERRA</t>
  </si>
  <si>
    <t>CORTE PAV LINEA OFICIAL - RASANTE</t>
  </si>
  <si>
    <t>ppto</t>
  </si>
  <si>
    <t>RETIRO GEO</t>
  </si>
  <si>
    <t>avance %</t>
  </si>
  <si>
    <t>ESCARPE</t>
  </si>
  <si>
    <t>CORTE GEOMETRICO</t>
  </si>
  <si>
    <t>Esc + corte geometrico</t>
  </si>
  <si>
    <t>SALDO GEO</t>
  </si>
  <si>
    <t>m3</t>
  </si>
  <si>
    <t>Sitio</t>
  </si>
  <si>
    <t>Pk</t>
  </si>
  <si>
    <t>geometrico</t>
  </si>
  <si>
    <t>esponjado</t>
  </si>
  <si>
    <t>a botadero</t>
  </si>
  <si>
    <t xml:space="preserve">% AVANCE </t>
  </si>
  <si>
    <t xml:space="preserve"> 0-20</t>
  </si>
  <si>
    <t xml:space="preserve"> 20-40</t>
  </si>
  <si>
    <t>40-60</t>
  </si>
  <si>
    <t>60-80</t>
  </si>
  <si>
    <t>80-100</t>
  </si>
  <si>
    <t>100-120</t>
  </si>
  <si>
    <t>120-140</t>
  </si>
  <si>
    <t>140-180</t>
  </si>
  <si>
    <t>160-180</t>
  </si>
  <si>
    <t>EXC ADICIONAL</t>
  </si>
  <si>
    <t>180-200</t>
  </si>
  <si>
    <t>200-220</t>
  </si>
  <si>
    <t>220-240</t>
  </si>
  <si>
    <t>240-260</t>
  </si>
  <si>
    <t>260-280</t>
  </si>
  <si>
    <t>280-300</t>
  </si>
  <si>
    <t>300-320</t>
  </si>
  <si>
    <t>320-340</t>
  </si>
  <si>
    <t>340-360</t>
  </si>
  <si>
    <t>360-380</t>
  </si>
  <si>
    <t>380-400</t>
  </si>
  <si>
    <t>400-420</t>
  </si>
  <si>
    <t>420-440</t>
  </si>
  <si>
    <t>440-460</t>
  </si>
  <si>
    <t>460-480</t>
  </si>
  <si>
    <t>480-500</t>
  </si>
  <si>
    <t>500-516,98</t>
  </si>
  <si>
    <t>PASAJE 4</t>
  </si>
  <si>
    <t>PASAJE 2</t>
  </si>
  <si>
    <t>PASAJE 1</t>
  </si>
  <si>
    <t>PASAJE 3</t>
  </si>
  <si>
    <t>ACCESO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</si>
</sst>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9" fontId="0" fillId="0" borderId="15" xfId="1" applyFont="1" applyBorder="1"/>
    <xf numFmtId="0" fontId="0" fillId="3" borderId="11" xfId="0" applyFill="1" applyBorder="1" applyAlignment="1">
      <alignment horizontal="center" vertical="center"/>
    </xf>
    <xf numFmtId="1" fontId="0" fillId="3" borderId="13" xfId="0" applyNumberFormat="1" applyFill="1" applyBorder="1" applyAlignment="1">
      <alignment horizontal="center"/>
    </xf>
    <xf numFmtId="9" fontId="0" fillId="0" borderId="10" xfId="1" applyFont="1" applyBorder="1"/>
    <xf numFmtId="0" fontId="4" fillId="3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" fontId="0" fillId="4" borderId="12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9" fontId="0" fillId="4" borderId="15" xfId="1" applyFont="1" applyFill="1" applyBorder="1"/>
    <xf numFmtId="0" fontId="0" fillId="5" borderId="0" xfId="0" applyFill="1"/>
    <xf numFmtId="0" fontId="4" fillId="5" borderId="11" xfId="0" applyFont="1" applyFill="1" applyBorder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9" fontId="0" fillId="5" borderId="15" xfId="1" applyFont="1" applyFill="1" applyBorder="1"/>
    <xf numFmtId="0" fontId="0" fillId="3" borderId="16" xfId="0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4" fillId="0" borderId="11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STER\Dropbox\137%20URBA%20LLC\1.4%20Programaci&#243;n%20y%20C.%20Avances\2.%20Control%20Avances\CONTROL%20DIARIO%20MOV%20TIERRA%2023-10.xlsx" TargetMode="External"/><Relationship Id="rId1" Type="http://schemas.openxmlformats.org/officeDocument/2006/relationships/externalLinkPath" Target="/Users/MASTER/Dropbox/137%20URBA%20LLC/1.4%20Programaci&#243;n%20y%20C.%20Avances/2.%20Control%20Avances/CONTROL%20DIARIO%20MOV%20TIERRA%2023-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 DIA"/>
      <sheetName val="LLUVIAS"/>
      <sheetName val="RESUMEN PRESENTACION"/>
      <sheetName val="CROQUIS"/>
      <sheetName val="CONTROL ENTREGAS"/>
      <sheetName val="CONTROL MEJORAMIENTOS"/>
      <sheetName val="CANT DENSIDADES"/>
    </sheetNames>
    <sheetDataSet>
      <sheetData sheetId="0">
        <row r="6">
          <cell r="C6">
            <v>2967.5000000000014</v>
          </cell>
          <cell r="D6">
            <v>1701.44</v>
          </cell>
          <cell r="E6">
            <v>0.57335804549283886</v>
          </cell>
        </row>
        <row r="7">
          <cell r="C7">
            <v>29353.099999999988</v>
          </cell>
          <cell r="D7">
            <v>21135.70285714286</v>
          </cell>
          <cell r="E7">
            <v>0.72005010909044931</v>
          </cell>
        </row>
        <row r="8">
          <cell r="C8">
            <v>32320.599999999988</v>
          </cell>
          <cell r="D8">
            <v>22837.142857142859</v>
          </cell>
          <cell r="E8">
            <v>0.70658164938592938</v>
          </cell>
        </row>
        <row r="12">
          <cell r="F12" t="str">
            <v>ESCARPE</v>
          </cell>
          <cell r="G12" t="str">
            <v>CORTE GEOMETRICO</v>
          </cell>
          <cell r="H12" t="str">
            <v>ESC + CORTE c/esp</v>
          </cell>
          <cell r="I12" t="str">
            <v>a botadero</v>
          </cell>
          <cell r="L12" t="str">
            <v>% AVANCE</v>
          </cell>
        </row>
        <row r="13">
          <cell r="C13">
            <v>1</v>
          </cell>
          <cell r="F13">
            <v>57.28</v>
          </cell>
          <cell r="G13">
            <v>2490.16</v>
          </cell>
          <cell r="H13">
            <v>3566.4159999999997</v>
          </cell>
          <cell r="I13">
            <v>3566</v>
          </cell>
          <cell r="L13">
            <v>0.99988335628821767</v>
          </cell>
        </row>
        <row r="14">
          <cell r="F14">
            <v>62.29</v>
          </cell>
          <cell r="G14">
            <v>1708.73</v>
          </cell>
          <cell r="H14">
            <v>2479.4279999999999</v>
          </cell>
          <cell r="I14">
            <v>2479</v>
          </cell>
          <cell r="L14">
            <v>0.99982737954076506</v>
          </cell>
        </row>
        <row r="15">
          <cell r="F15">
            <v>61.39</v>
          </cell>
          <cell r="G15">
            <v>463.44</v>
          </cell>
          <cell r="H15">
            <v>734.76200000000006</v>
          </cell>
          <cell r="I15">
            <v>431</v>
          </cell>
          <cell r="L15">
            <v>0.58658449947057678</v>
          </cell>
        </row>
        <row r="16">
          <cell r="F16">
            <v>67.41</v>
          </cell>
          <cell r="G16">
            <v>413.07</v>
          </cell>
          <cell r="H16">
            <v>672.67200000000003</v>
          </cell>
          <cell r="I16">
            <v>673</v>
          </cell>
          <cell r="L16">
            <v>1.0004876076304647</v>
          </cell>
        </row>
        <row r="17">
          <cell r="F17">
            <v>59.27</v>
          </cell>
          <cell r="G17">
            <v>590.16999999999996</v>
          </cell>
          <cell r="H17">
            <v>909.21599999999989</v>
          </cell>
          <cell r="I17">
            <v>909</v>
          </cell>
          <cell r="L17">
            <v>0.99976243268926213</v>
          </cell>
        </row>
        <row r="18">
          <cell r="F18">
            <v>48</v>
          </cell>
          <cell r="G18">
            <v>590.29</v>
          </cell>
          <cell r="H18">
            <v>893.60599999999988</v>
          </cell>
          <cell r="I18">
            <v>894</v>
          </cell>
          <cell r="L18">
            <v>1.0004409101997973</v>
          </cell>
        </row>
        <row r="19">
          <cell r="F19">
            <v>45.47</v>
          </cell>
          <cell r="G19">
            <v>599.02</v>
          </cell>
          <cell r="H19">
            <v>902.28599999999994</v>
          </cell>
          <cell r="I19">
            <v>902</v>
          </cell>
          <cell r="L19">
            <v>0.99968302733279701</v>
          </cell>
        </row>
        <row r="20">
          <cell r="F20">
            <v>45.97</v>
          </cell>
          <cell r="G20">
            <v>533.12</v>
          </cell>
          <cell r="H20">
            <v>810.726</v>
          </cell>
          <cell r="I20">
            <v>811</v>
          </cell>
          <cell r="L20">
            <v>1.0003379686848577</v>
          </cell>
        </row>
        <row r="21">
          <cell r="F21">
            <v>71.81</v>
          </cell>
          <cell r="G21">
            <v>278.77</v>
          </cell>
          <cell r="H21">
            <v>490.81199999999995</v>
          </cell>
          <cell r="I21">
            <v>491</v>
          </cell>
          <cell r="L21">
            <v>1.0003830387195098</v>
          </cell>
        </row>
        <row r="22">
          <cell r="I22">
            <v>228</v>
          </cell>
        </row>
        <row r="23">
          <cell r="F23">
            <v>59.85</v>
          </cell>
          <cell r="G23">
            <v>104.71</v>
          </cell>
          <cell r="H23">
            <v>230.38399999999999</v>
          </cell>
          <cell r="I23">
            <v>230</v>
          </cell>
          <cell r="L23">
            <v>0.99833321758455451</v>
          </cell>
        </row>
        <row r="24">
          <cell r="I24">
            <v>350</v>
          </cell>
        </row>
        <row r="25">
          <cell r="F25">
            <v>57.52</v>
          </cell>
          <cell r="G25">
            <v>46.17</v>
          </cell>
          <cell r="H25">
            <v>145.166</v>
          </cell>
          <cell r="I25">
            <v>145</v>
          </cell>
          <cell r="L25">
            <v>0.99885648154526541</v>
          </cell>
        </row>
        <row r="26">
          <cell r="I26">
            <v>1095</v>
          </cell>
        </row>
        <row r="27">
          <cell r="F27">
            <v>42.84</v>
          </cell>
          <cell r="G27">
            <v>661.84</v>
          </cell>
          <cell r="H27">
            <v>986.55200000000002</v>
          </cell>
          <cell r="I27">
            <v>987</v>
          </cell>
          <cell r="L27">
            <v>1.0004541068286315</v>
          </cell>
        </row>
        <row r="28">
          <cell r="I28">
            <v>760</v>
          </cell>
        </row>
        <row r="29">
          <cell r="F29">
            <v>42.35</v>
          </cell>
          <cell r="G29">
            <v>634.92999999999995</v>
          </cell>
          <cell r="H29">
            <v>948.19199999999989</v>
          </cell>
          <cell r="I29">
            <v>948</v>
          </cell>
          <cell r="L29">
            <v>0.99979750936519196</v>
          </cell>
        </row>
        <row r="30">
          <cell r="I30">
            <v>720</v>
          </cell>
        </row>
        <row r="31">
          <cell r="F31">
            <v>44.24</v>
          </cell>
          <cell r="G31">
            <v>413.6</v>
          </cell>
          <cell r="H31">
            <v>640.976</v>
          </cell>
          <cell r="I31">
            <v>641</v>
          </cell>
          <cell r="L31">
            <v>1.0000374428995782</v>
          </cell>
        </row>
        <row r="32">
          <cell r="I32">
            <v>781</v>
          </cell>
        </row>
        <row r="33">
          <cell r="F33">
            <v>48.64</v>
          </cell>
          <cell r="G33">
            <v>457.57</v>
          </cell>
          <cell r="H33">
            <v>708.69399999999996</v>
          </cell>
          <cell r="I33">
            <v>709</v>
          </cell>
          <cell r="L33">
            <v>1.0004317801477083</v>
          </cell>
        </row>
        <row r="34">
          <cell r="I34">
            <v>554</v>
          </cell>
        </row>
        <row r="35">
          <cell r="F35">
            <v>57.45</v>
          </cell>
          <cell r="G35">
            <v>1133.05</v>
          </cell>
          <cell r="H35">
            <v>1666.6999999999998</v>
          </cell>
          <cell r="I35">
            <v>0</v>
          </cell>
          <cell r="L35">
            <v>0</v>
          </cell>
        </row>
        <row r="36">
          <cell r="F36">
            <v>78.86</v>
          </cell>
          <cell r="G36">
            <v>412.96</v>
          </cell>
          <cell r="H36">
            <v>688.548</v>
          </cell>
          <cell r="I36">
            <v>0</v>
          </cell>
          <cell r="L36">
            <v>0</v>
          </cell>
        </row>
        <row r="37">
          <cell r="F37">
            <v>61.15</v>
          </cell>
          <cell r="G37">
            <v>2013.71</v>
          </cell>
          <cell r="H37">
            <v>2904.8040000000001</v>
          </cell>
          <cell r="I37">
            <v>2905</v>
          </cell>
          <cell r="L37">
            <v>1.0000674744320099</v>
          </cell>
        </row>
        <row r="38">
          <cell r="F38">
            <v>58.05</v>
          </cell>
          <cell r="G38">
            <v>1558.62</v>
          </cell>
          <cell r="H38">
            <v>2263.3379999999997</v>
          </cell>
          <cell r="I38">
            <v>2263</v>
          </cell>
          <cell r="L38">
            <v>0.99985066304723391</v>
          </cell>
        </row>
        <row r="39">
          <cell r="F39">
            <v>81.67</v>
          </cell>
          <cell r="G39">
            <v>1793.83</v>
          </cell>
          <cell r="H39">
            <v>2625.7</v>
          </cell>
          <cell r="I39">
            <v>2624</v>
          </cell>
          <cell r="L39">
            <v>0.99935255360475306</v>
          </cell>
        </row>
        <row r="40">
          <cell r="F40">
            <v>71.02</v>
          </cell>
          <cell r="G40">
            <v>1078.69</v>
          </cell>
          <cell r="H40">
            <v>1609.5940000000001</v>
          </cell>
          <cell r="I40">
            <v>1552</v>
          </cell>
          <cell r="L40">
            <v>0.96421830598275093</v>
          </cell>
        </row>
        <row r="41">
          <cell r="F41">
            <v>68.430000000000007</v>
          </cell>
          <cell r="G41">
            <v>1397.45</v>
          </cell>
          <cell r="H41">
            <v>2052.232</v>
          </cell>
          <cell r="I41">
            <v>2052</v>
          </cell>
          <cell r="L41">
            <v>0.99988695235236569</v>
          </cell>
        </row>
        <row r="42">
          <cell r="F42">
            <v>51.9</v>
          </cell>
          <cell r="G42">
            <v>1126.18</v>
          </cell>
          <cell r="H42">
            <v>1649.3120000000001</v>
          </cell>
          <cell r="I42">
            <v>1649</v>
          </cell>
          <cell r="L42">
            <v>0.99981083021284023</v>
          </cell>
        </row>
        <row r="43">
          <cell r="F43">
            <v>66.25</v>
          </cell>
          <cell r="G43">
            <v>687.52</v>
          </cell>
          <cell r="H43">
            <v>1055.278</v>
          </cell>
          <cell r="I43">
            <v>1053</v>
          </cell>
          <cell r="L43">
            <v>0.99784132711948892</v>
          </cell>
        </row>
        <row r="44">
          <cell r="F44">
            <v>45.09</v>
          </cell>
          <cell r="G44">
            <v>414.36</v>
          </cell>
          <cell r="H44">
            <v>643.23</v>
          </cell>
          <cell r="I44">
            <v>643</v>
          </cell>
          <cell r="L44">
            <v>0.99964242961304661</v>
          </cell>
        </row>
        <row r="45">
          <cell r="F45">
            <v>56.01</v>
          </cell>
          <cell r="G45">
            <v>619.42999999999995</v>
          </cell>
          <cell r="H45">
            <v>945.61599999999987</v>
          </cell>
          <cell r="I45">
            <v>487</v>
          </cell>
          <cell r="L45">
            <v>0.51500820629092581</v>
          </cell>
        </row>
        <row r="46">
          <cell r="F46">
            <v>68.12</v>
          </cell>
          <cell r="G46">
            <v>1083.75</v>
          </cell>
          <cell r="H46">
            <v>1612.6179999999997</v>
          </cell>
          <cell r="I46">
            <v>833</v>
          </cell>
          <cell r="L46">
            <v>0.516551346940193</v>
          </cell>
        </row>
        <row r="47">
          <cell r="F47">
            <v>54.4</v>
          </cell>
          <cell r="G47">
            <v>630.79</v>
          </cell>
          <cell r="H47">
            <v>959.26599999999985</v>
          </cell>
          <cell r="I47">
            <v>0</v>
          </cell>
          <cell r="L47">
            <v>0</v>
          </cell>
        </row>
        <row r="48">
          <cell r="F48">
            <v>58.95</v>
          </cell>
          <cell r="G48">
            <v>219.07</v>
          </cell>
          <cell r="H48">
            <v>389.22799999999995</v>
          </cell>
          <cell r="I48">
            <v>0</v>
          </cell>
          <cell r="L48">
            <v>0</v>
          </cell>
        </row>
        <row r="49">
          <cell r="F49">
            <v>74.94</v>
          </cell>
          <cell r="G49">
            <v>74.41</v>
          </cell>
          <cell r="H49">
            <v>209.08999999999997</v>
          </cell>
          <cell r="I49">
            <v>50</v>
          </cell>
          <cell r="L49">
            <v>0.2391314744846717</v>
          </cell>
        </row>
        <row r="50">
          <cell r="F50">
            <v>73.23</v>
          </cell>
          <cell r="G50">
            <v>1374.53</v>
          </cell>
          <cell r="H50">
            <v>2026.8639999999998</v>
          </cell>
          <cell r="I50">
            <v>545</v>
          </cell>
          <cell r="L50">
            <v>0.26888829245573459</v>
          </cell>
        </row>
        <row r="51">
          <cell r="C51">
            <v>29</v>
          </cell>
          <cell r="F51">
            <v>59.35</v>
          </cell>
          <cell r="G51">
            <v>415.37</v>
          </cell>
          <cell r="H51">
            <v>664.60799999999995</v>
          </cell>
          <cell r="I51">
            <v>238</v>
          </cell>
          <cell r="L51">
            <v>0.35810583080552749</v>
          </cell>
        </row>
        <row r="52">
          <cell r="C52">
            <v>28</v>
          </cell>
          <cell r="F52">
            <v>51.9</v>
          </cell>
          <cell r="G52">
            <v>322.91000000000003</v>
          </cell>
          <cell r="H52">
            <v>524.73399999999992</v>
          </cell>
          <cell r="I52">
            <v>239</v>
          </cell>
          <cell r="L52">
            <v>0.45546886613026799</v>
          </cell>
        </row>
        <row r="53">
          <cell r="C53">
            <v>27</v>
          </cell>
          <cell r="F53">
            <v>55.73</v>
          </cell>
          <cell r="G53">
            <v>192.74</v>
          </cell>
          <cell r="H53">
            <v>347.858</v>
          </cell>
          <cell r="I53">
            <v>23</v>
          </cell>
          <cell r="L53">
            <v>6.611893358784332E-2</v>
          </cell>
        </row>
        <row r="54">
          <cell r="C54">
            <v>26</v>
          </cell>
          <cell r="F54">
            <v>57.77</v>
          </cell>
          <cell r="G54">
            <v>36.14</v>
          </cell>
          <cell r="H54">
            <v>131.47399999999999</v>
          </cell>
          <cell r="I54">
            <v>0</v>
          </cell>
          <cell r="L54">
            <v>0</v>
          </cell>
        </row>
        <row r="55">
          <cell r="C55">
            <v>24</v>
          </cell>
          <cell r="F55">
            <v>72.75</v>
          </cell>
          <cell r="G55">
            <v>34.1</v>
          </cell>
          <cell r="H55">
            <v>149.58999999999997</v>
          </cell>
          <cell r="I55">
            <v>0</v>
          </cell>
          <cell r="L55">
            <v>0</v>
          </cell>
        </row>
        <row r="56">
          <cell r="C56">
            <v>23</v>
          </cell>
          <cell r="F56">
            <v>65.91</v>
          </cell>
          <cell r="G56">
            <v>39.67</v>
          </cell>
          <cell r="H56">
            <v>147.81199999999998</v>
          </cell>
          <cell r="I56">
            <v>0</v>
          </cell>
          <cell r="L56">
            <v>0</v>
          </cell>
        </row>
        <row r="57">
          <cell r="C57">
            <v>22</v>
          </cell>
          <cell r="F57">
            <v>68</v>
          </cell>
          <cell r="G57">
            <v>19.34</v>
          </cell>
          <cell r="H57">
            <v>122.276</v>
          </cell>
          <cell r="I57">
            <v>0</v>
          </cell>
          <cell r="L57">
            <v>0</v>
          </cell>
        </row>
        <row r="58">
          <cell r="C58">
            <v>21</v>
          </cell>
          <cell r="F58">
            <v>78.52</v>
          </cell>
          <cell r="G58">
            <v>0</v>
          </cell>
          <cell r="H58">
            <v>109.92799999999998</v>
          </cell>
          <cell r="I58">
            <v>0</v>
          </cell>
          <cell r="L58">
            <v>0</v>
          </cell>
        </row>
        <row r="59">
          <cell r="C59">
            <v>20</v>
          </cell>
          <cell r="F59">
            <v>67.8</v>
          </cell>
          <cell r="G59">
            <v>0</v>
          </cell>
          <cell r="H59">
            <v>94.919999999999987</v>
          </cell>
          <cell r="I59">
            <v>0</v>
          </cell>
          <cell r="L59">
            <v>0</v>
          </cell>
        </row>
        <row r="60">
          <cell r="C60">
            <v>19</v>
          </cell>
          <cell r="F60">
            <v>70.97</v>
          </cell>
          <cell r="G60">
            <v>34.940000000000005</v>
          </cell>
          <cell r="H60">
            <v>148.27399999999997</v>
          </cell>
          <cell r="I60">
            <v>0</v>
          </cell>
          <cell r="L60">
            <v>0</v>
          </cell>
        </row>
        <row r="61">
          <cell r="C61">
            <v>18</v>
          </cell>
          <cell r="F61">
            <v>74.819999999999993</v>
          </cell>
          <cell r="G61">
            <v>673.14</v>
          </cell>
          <cell r="H61">
            <v>1047.144</v>
          </cell>
          <cell r="I61">
            <v>0</v>
          </cell>
          <cell r="L61">
            <v>0</v>
          </cell>
        </row>
        <row r="62">
          <cell r="C62">
            <v>17</v>
          </cell>
          <cell r="F62">
            <v>74.069999999999993</v>
          </cell>
          <cell r="G62">
            <v>252.4</v>
          </cell>
          <cell r="H62">
            <v>457.05799999999999</v>
          </cell>
          <cell r="I62">
            <v>0</v>
          </cell>
          <cell r="L62">
            <v>0</v>
          </cell>
        </row>
        <row r="63">
          <cell r="C63">
            <v>16</v>
          </cell>
          <cell r="F63">
            <v>63.26</v>
          </cell>
          <cell r="G63">
            <v>784.53</v>
          </cell>
          <cell r="H63">
            <v>1186.9059999999999</v>
          </cell>
          <cell r="I63">
            <v>0</v>
          </cell>
          <cell r="L63">
            <v>0</v>
          </cell>
        </row>
        <row r="64">
          <cell r="C64">
            <v>15</v>
          </cell>
          <cell r="F64">
            <v>53.56</v>
          </cell>
          <cell r="G64">
            <v>204.09</v>
          </cell>
          <cell r="H64">
            <v>360.70999999999992</v>
          </cell>
          <cell r="I64">
            <v>0</v>
          </cell>
          <cell r="L64">
            <v>0</v>
          </cell>
        </row>
        <row r="65">
          <cell r="C65">
            <v>14</v>
          </cell>
          <cell r="F65">
            <v>59.05</v>
          </cell>
          <cell r="G65">
            <v>0</v>
          </cell>
          <cell r="H65">
            <v>82.669999999999987</v>
          </cell>
          <cell r="I65">
            <v>0</v>
          </cell>
          <cell r="L65">
            <v>0</v>
          </cell>
        </row>
        <row r="66">
          <cell r="C66">
            <v>13</v>
          </cell>
          <cell r="F66">
            <v>55.18</v>
          </cell>
          <cell r="G66">
            <v>5.759999999999998</v>
          </cell>
          <cell r="H66">
            <v>85.315999999999988</v>
          </cell>
          <cell r="I66">
            <v>0</v>
          </cell>
          <cell r="L66">
            <v>0</v>
          </cell>
        </row>
        <row r="67">
          <cell r="C67">
            <v>12</v>
          </cell>
          <cell r="F67">
            <v>99.01</v>
          </cell>
          <cell r="G67">
            <v>734.03</v>
          </cell>
          <cell r="H67">
            <v>1166.2559999999999</v>
          </cell>
          <cell r="I67">
            <v>0</v>
          </cell>
          <cell r="L67">
            <v>0</v>
          </cell>
        </row>
        <row r="68">
          <cell r="I68">
            <v>44</v>
          </cell>
        </row>
        <row r="69">
          <cell r="I69">
            <v>268</v>
          </cell>
        </row>
        <row r="70">
          <cell r="I70">
            <v>192</v>
          </cell>
        </row>
        <row r="84">
          <cell r="G84">
            <v>1085.184</v>
          </cell>
          <cell r="H84">
            <v>1519.2575999999999</v>
          </cell>
          <cell r="I84">
            <v>1519</v>
          </cell>
          <cell r="L84">
            <v>0.99983044350082573</v>
          </cell>
        </row>
        <row r="85">
          <cell r="G85">
            <v>848.87999999999738</v>
          </cell>
          <cell r="H85">
            <v>1188.4319999999962</v>
          </cell>
          <cell r="I85">
            <v>1188</v>
          </cell>
          <cell r="L85">
            <v>0.99963649581970515</v>
          </cell>
        </row>
        <row r="86">
          <cell r="G86">
            <v>553.67999999999574</v>
          </cell>
          <cell r="H86">
            <v>775.15199999999402</v>
          </cell>
          <cell r="I86">
            <v>775</v>
          </cell>
          <cell r="L86">
            <v>0.99980390942680397</v>
          </cell>
        </row>
        <row r="87">
          <cell r="G87">
            <v>567.71999999999525</v>
          </cell>
          <cell r="H87">
            <v>794.80799999999329</v>
          </cell>
          <cell r="I87">
            <v>795</v>
          </cell>
          <cell r="L87">
            <v>1.0002415677748673</v>
          </cell>
        </row>
        <row r="88">
          <cell r="G88">
            <v>698.399999999991</v>
          </cell>
          <cell r="H88">
            <v>977.75999999998737</v>
          </cell>
          <cell r="I88">
            <v>978</v>
          </cell>
          <cell r="L88">
            <v>1.0002454590083585</v>
          </cell>
        </row>
        <row r="89">
          <cell r="G89">
            <v>531.71999999999525</v>
          </cell>
          <cell r="H89">
            <v>744.40799999999331</v>
          </cell>
          <cell r="I89">
            <v>744</v>
          </cell>
          <cell r="L89">
            <v>0.9994519134668175</v>
          </cell>
        </row>
        <row r="90">
          <cell r="G90">
            <v>334.44000000000278</v>
          </cell>
          <cell r="H90">
            <v>468.21600000000387</v>
          </cell>
          <cell r="I90">
            <v>386</v>
          </cell>
          <cell r="L90">
            <v>0.82440582978795429</v>
          </cell>
        </row>
        <row r="91">
          <cell r="G91">
            <v>571.32000000000016</v>
          </cell>
          <cell r="H91">
            <v>799.84800000000018</v>
          </cell>
          <cell r="I91">
            <v>650</v>
          </cell>
          <cell r="L91">
            <v>0.81265440433682379</v>
          </cell>
        </row>
        <row r="92">
          <cell r="G92">
            <v>786.9599999999964</v>
          </cell>
          <cell r="H92">
            <v>1101.7439999999949</v>
          </cell>
          <cell r="I92">
            <v>911</v>
          </cell>
          <cell r="L92">
            <v>0.82687085203096566</v>
          </cell>
        </row>
        <row r="93">
          <cell r="G93">
            <v>584.27999999999656</v>
          </cell>
          <cell r="H93">
            <v>817.99199999999519</v>
          </cell>
          <cell r="I93">
            <v>660</v>
          </cell>
          <cell r="L93">
            <v>0.80685385676144006</v>
          </cell>
        </row>
        <row r="94">
          <cell r="G94">
            <v>353.16000000000213</v>
          </cell>
          <cell r="H94">
            <v>494.42400000000293</v>
          </cell>
          <cell r="I94">
            <v>246</v>
          </cell>
          <cell r="L94">
            <v>0.4975486626862744</v>
          </cell>
        </row>
        <row r="95">
          <cell r="G95">
            <v>277.5600000000054</v>
          </cell>
          <cell r="H95">
            <v>388.58400000000756</v>
          </cell>
          <cell r="I95">
            <v>172</v>
          </cell>
          <cell r="L95">
            <v>0.44263273835257411</v>
          </cell>
        </row>
        <row r="96">
          <cell r="G96">
            <v>287.28000000000065</v>
          </cell>
          <cell r="H96">
            <v>402.19200000000092</v>
          </cell>
          <cell r="I96">
            <v>150</v>
          </cell>
          <cell r="L96">
            <v>0.37295620002386837</v>
          </cell>
        </row>
        <row r="97">
          <cell r="G97">
            <v>413.63999999999623</v>
          </cell>
          <cell r="H97">
            <v>579.09599999999466</v>
          </cell>
          <cell r="I97">
            <v>188</v>
          </cell>
          <cell r="L97">
            <v>0.32464392777709006</v>
          </cell>
        </row>
        <row r="98">
          <cell r="G98">
            <v>382.31999999999198</v>
          </cell>
          <cell r="H98">
            <v>535.24799999998879</v>
          </cell>
          <cell r="I98">
            <v>175</v>
          </cell>
          <cell r="L98">
            <v>0.32695124503034795</v>
          </cell>
        </row>
        <row r="99">
          <cell r="G99">
            <v>252.71999999999522</v>
          </cell>
          <cell r="H99">
            <v>353.80799999999329</v>
          </cell>
          <cell r="I99">
            <v>111</v>
          </cell>
          <cell r="L99">
            <v>0.313729480396153</v>
          </cell>
        </row>
        <row r="100">
          <cell r="G100">
            <v>307.4399999999946</v>
          </cell>
          <cell r="H100">
            <v>430.41599999999244</v>
          </cell>
          <cell r="I100">
            <v>125</v>
          </cell>
          <cell r="L100">
            <v>0.29041671313334588</v>
          </cell>
        </row>
        <row r="101">
          <cell r="G101">
            <v>446.39999999999503</v>
          </cell>
          <cell r="H101">
            <v>624.95999999999299</v>
          </cell>
          <cell r="I101">
            <v>180</v>
          </cell>
          <cell r="L101">
            <v>0.28801843317972675</v>
          </cell>
        </row>
        <row r="102">
          <cell r="G102">
            <v>360</v>
          </cell>
          <cell r="H102">
            <v>503.99999999999994</v>
          </cell>
          <cell r="I102">
            <v>300</v>
          </cell>
          <cell r="L102">
            <v>0.59523809523809534</v>
          </cell>
        </row>
        <row r="103">
          <cell r="G103">
            <v>150.11999999999853</v>
          </cell>
          <cell r="H103">
            <v>210.16799999999793</v>
          </cell>
          <cell r="I103">
            <v>132</v>
          </cell>
          <cell r="L103">
            <v>0.62806897339272061</v>
          </cell>
        </row>
        <row r="104">
          <cell r="G104">
            <v>90.72</v>
          </cell>
          <cell r="H104">
            <v>127.008</v>
          </cell>
          <cell r="I104">
            <v>70</v>
          </cell>
          <cell r="L104">
            <v>0.55114638447971787</v>
          </cell>
        </row>
        <row r="105">
          <cell r="G105">
            <v>88.200000000001637</v>
          </cell>
          <cell r="H105">
            <v>123.48000000000228</v>
          </cell>
          <cell r="I105">
            <v>70</v>
          </cell>
          <cell r="L105">
            <v>0.56689342403627074</v>
          </cell>
        </row>
        <row r="106">
          <cell r="G106">
            <v>209.51999999999771</v>
          </cell>
          <cell r="H106">
            <v>293.32799999999679</v>
          </cell>
          <cell r="I106">
            <v>150</v>
          </cell>
          <cell r="L106">
            <v>0.51137293405335205</v>
          </cell>
        </row>
        <row r="107">
          <cell r="G107">
            <v>437.39999999999509</v>
          </cell>
          <cell r="H107">
            <v>612.35999999999308</v>
          </cell>
          <cell r="I107">
            <v>350</v>
          </cell>
          <cell r="L107">
            <v>0.57155921353452865</v>
          </cell>
        </row>
        <row r="108">
          <cell r="G108">
            <v>686.88000000000147</v>
          </cell>
          <cell r="H108">
            <v>961.63200000000199</v>
          </cell>
          <cell r="I108">
            <v>733</v>
          </cell>
          <cell r="L108">
            <v>0.76224584872383461</v>
          </cell>
        </row>
        <row r="109">
          <cell r="G109">
            <v>914.76000000000295</v>
          </cell>
          <cell r="H109">
            <v>1280.6640000000041</v>
          </cell>
          <cell r="I109">
            <v>931</v>
          </cell>
          <cell r="L109">
            <v>0.72696663605754286</v>
          </cell>
        </row>
        <row r="110">
          <cell r="G110">
            <v>2550</v>
          </cell>
          <cell r="H110">
            <v>3570</v>
          </cell>
          <cell r="I110">
            <v>2476</v>
          </cell>
          <cell r="L110">
            <v>0.69355742296918765</v>
          </cell>
        </row>
        <row r="111">
          <cell r="G111">
            <v>312</v>
          </cell>
          <cell r="H111">
            <v>436.79999999999995</v>
          </cell>
          <cell r="I111">
            <v>71</v>
          </cell>
          <cell r="L111">
            <v>0.16254578754578755</v>
          </cell>
        </row>
        <row r="112">
          <cell r="G112">
            <v>129</v>
          </cell>
          <cell r="H112">
            <v>180.6</v>
          </cell>
          <cell r="I112">
            <v>181</v>
          </cell>
          <cell r="L112">
            <v>1.0022148394241417</v>
          </cell>
        </row>
        <row r="113">
          <cell r="G113">
            <v>3305</v>
          </cell>
          <cell r="H113">
            <v>4627</v>
          </cell>
          <cell r="I113">
            <v>3466</v>
          </cell>
          <cell r="L113">
            <v>0.74908147827966287</v>
          </cell>
        </row>
        <row r="114">
          <cell r="I114">
            <v>1725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A2CE-EE84-4F26-81D4-57C41A4D30BE}">
  <dimension ref="B1:N72"/>
  <sheetViews>
    <sheetView tabSelected="1" view="pageBreakPreview" zoomScaleNormal="100" zoomScaleSheetLayoutView="100" workbookViewId="0">
      <selection activeCell="D41" sqref="D41"/>
    </sheetView>
  </sheetViews>
  <sheetFormatPr baseColWidth="10" defaultRowHeight="14.4" x14ac:dyDescent="0.3"/>
  <cols>
    <col min="1" max="1" width="2.5546875" customWidth="1"/>
    <col min="2" max="2" width="13.77734375" bestFit="1" customWidth="1"/>
    <col min="4" max="7" width="11.5546875" style="1"/>
    <col min="9" max="9" width="4.5546875" customWidth="1"/>
  </cols>
  <sheetData>
    <row r="1" spans="2:14" ht="15.6" customHeight="1" x14ac:dyDescent="0.3"/>
    <row r="2" spans="2:14" ht="15.6" customHeight="1" x14ac:dyDescent="0.4">
      <c r="C2" s="2" t="s">
        <v>0</v>
      </c>
      <c r="J2" s="2" t="s">
        <v>1</v>
      </c>
    </row>
    <row r="3" spans="2:14" ht="15.6" customHeight="1" x14ac:dyDescent="0.4">
      <c r="C3" s="2"/>
      <c r="J3" s="2"/>
    </row>
    <row r="4" spans="2:14" ht="15.6" customHeight="1" x14ac:dyDescent="0.3">
      <c r="E4" s="3" t="s">
        <v>2</v>
      </c>
      <c r="F4" s="3" t="s">
        <v>3</v>
      </c>
      <c r="G4" s="3" t="s">
        <v>4</v>
      </c>
      <c r="K4" s="1"/>
      <c r="L4" s="3" t="s">
        <v>2</v>
      </c>
      <c r="M4" s="3" t="s">
        <v>3</v>
      </c>
      <c r="N4" s="3" t="s">
        <v>4</v>
      </c>
    </row>
    <row r="5" spans="2:14" ht="15.6" customHeight="1" x14ac:dyDescent="0.3">
      <c r="C5" s="4" t="s">
        <v>5</v>
      </c>
      <c r="D5" s="4"/>
      <c r="E5" s="5">
        <f>+'[1]CONTROL DIA'!C6</f>
        <v>2967.5000000000014</v>
      </c>
      <c r="F5" s="5">
        <f>+'[1]CONTROL DIA'!D6</f>
        <v>1701.44</v>
      </c>
      <c r="G5" s="6">
        <f>+'[1]CONTROL DIA'!E6</f>
        <v>0.57335804549283886</v>
      </c>
      <c r="J5" s="4" t="str">
        <f>+C5</f>
        <v>ESCARPE</v>
      </c>
      <c r="K5" s="4"/>
      <c r="L5" s="5">
        <v>2153</v>
      </c>
      <c r="M5" s="5">
        <v>2153</v>
      </c>
      <c r="N5" s="6">
        <f>+M5/L5</f>
        <v>1</v>
      </c>
    </row>
    <row r="6" spans="2:14" ht="15.6" customHeight="1" x14ac:dyDescent="0.3">
      <c r="C6" s="4" t="s">
        <v>6</v>
      </c>
      <c r="D6" s="4"/>
      <c r="E6" s="5">
        <f>+'[1]CONTROL DIA'!C7</f>
        <v>29353.099999999988</v>
      </c>
      <c r="F6" s="5">
        <f>+'[1]CONTROL DIA'!D7</f>
        <v>21135.70285714286</v>
      </c>
      <c r="G6" s="6">
        <f>+'[1]CONTROL DIA'!E7</f>
        <v>0.72005010909044931</v>
      </c>
      <c r="J6" s="4" t="s">
        <v>6</v>
      </c>
      <c r="K6" s="4"/>
      <c r="L6" s="5">
        <f>SUM(K14:K43)</f>
        <v>18516.703999999943</v>
      </c>
      <c r="M6" s="5">
        <f>(SUM(M14:M44)/1.4)-2153</f>
        <v>12567.000000000002</v>
      </c>
      <c r="N6" s="6">
        <f>+M6/L6</f>
        <v>0.67868450022207194</v>
      </c>
    </row>
    <row r="7" spans="2:14" ht="15.6" customHeight="1" x14ac:dyDescent="0.3">
      <c r="C7" s="4" t="s">
        <v>7</v>
      </c>
      <c r="D7" s="4"/>
      <c r="E7" s="7">
        <f>+'[1]CONTROL DIA'!C8</f>
        <v>32320.599999999988</v>
      </c>
      <c r="F7" s="7">
        <f>+'[1]CONTROL DIA'!D8</f>
        <v>22837.142857142859</v>
      </c>
      <c r="G7" s="8">
        <f>+'[1]CONTROL DIA'!E8</f>
        <v>0.70658164938592938</v>
      </c>
      <c r="J7" s="4"/>
      <c r="K7" s="4"/>
      <c r="L7" s="7">
        <f>SUM(L5:L6)</f>
        <v>20669.703999999943</v>
      </c>
      <c r="M7" s="7">
        <f>SUM(M5:M6)</f>
        <v>14720.000000000002</v>
      </c>
      <c r="N7" s="8">
        <f>+M7/L7</f>
        <v>0.71215340093888346</v>
      </c>
    </row>
    <row r="8" spans="2:14" ht="15.6" customHeight="1" x14ac:dyDescent="0.4">
      <c r="C8" s="2"/>
      <c r="J8" s="2"/>
    </row>
    <row r="9" spans="2:14" ht="15.6" customHeight="1" x14ac:dyDescent="0.4">
      <c r="C9" s="2"/>
      <c r="D9" s="3" t="s">
        <v>8</v>
      </c>
      <c r="E9" s="9">
        <f>+E7-F7</f>
        <v>9483.4571428571289</v>
      </c>
      <c r="J9" s="2"/>
      <c r="K9" s="3" t="s">
        <v>8</v>
      </c>
      <c r="L9" s="9">
        <f>+L7-M7</f>
        <v>5949.7039999999415</v>
      </c>
    </row>
    <row r="10" spans="2:14" ht="15.6" customHeight="1" x14ac:dyDescent="0.4">
      <c r="C10" s="2"/>
      <c r="J10" s="2"/>
    </row>
    <row r="11" spans="2:14" ht="15.6" customHeight="1" thickBot="1" x14ac:dyDescent="0.35"/>
    <row r="12" spans="2:14" ht="15" thickBot="1" x14ac:dyDescent="0.35">
      <c r="B12" s="10"/>
      <c r="C12" s="10"/>
      <c r="D12" s="11" t="s">
        <v>9</v>
      </c>
      <c r="E12" s="12"/>
      <c r="F12" s="12"/>
      <c r="G12" s="13"/>
      <c r="J12" s="10"/>
      <c r="K12" s="14" t="s">
        <v>9</v>
      </c>
      <c r="L12" s="15"/>
      <c r="M12" s="16"/>
    </row>
    <row r="13" spans="2:14" ht="21" thickBot="1" x14ac:dyDescent="0.35">
      <c r="B13" s="10"/>
      <c r="C13" s="17" t="s">
        <v>10</v>
      </c>
      <c r="D13" s="18" t="str">
        <f>+'[1]CONTROL DIA'!F12</f>
        <v>ESCARPE</v>
      </c>
      <c r="E13" s="18" t="str">
        <f>+'[1]CONTROL DIA'!G12</f>
        <v>CORTE GEOMETRICO</v>
      </c>
      <c r="F13" s="18" t="str">
        <f>+'[1]CONTROL DIA'!H12</f>
        <v>ESC + CORTE c/esp</v>
      </c>
      <c r="G13" s="19" t="str">
        <f>+'[1]CONTROL DIA'!I12</f>
        <v>a botadero</v>
      </c>
      <c r="H13" s="20" t="str">
        <f>+'[1]CONTROL DIA'!L12</f>
        <v>% AVANCE</v>
      </c>
      <c r="J13" s="21" t="s">
        <v>11</v>
      </c>
      <c r="K13" s="22" t="s">
        <v>12</v>
      </c>
      <c r="L13" s="23" t="s">
        <v>13</v>
      </c>
      <c r="M13" s="24" t="s">
        <v>14</v>
      </c>
      <c r="N13" s="20" t="s">
        <v>15</v>
      </c>
    </row>
    <row r="14" spans="2:14" x14ac:dyDescent="0.3">
      <c r="C14" s="25">
        <f>+'[1]CONTROL DIA'!C13</f>
        <v>1</v>
      </c>
      <c r="D14" s="26">
        <f>+'[1]CONTROL DIA'!F13</f>
        <v>57.28</v>
      </c>
      <c r="E14" s="26">
        <f>+'[1]CONTROL DIA'!G13</f>
        <v>2490.16</v>
      </c>
      <c r="F14" s="9">
        <f>+'[1]CONTROL DIA'!H13</f>
        <v>3566.4159999999997</v>
      </c>
      <c r="G14" s="27">
        <f>+'[1]CONTROL DIA'!I13</f>
        <v>3566</v>
      </c>
      <c r="H14" s="28">
        <f>+'[1]CONTROL DIA'!L13</f>
        <v>0.99988335628821767</v>
      </c>
      <c r="J14" s="29" t="s">
        <v>16</v>
      </c>
      <c r="K14" s="26">
        <f>+'[1]CONTROL DIA'!G84</f>
        <v>1085.184</v>
      </c>
      <c r="L14" s="9">
        <f>+'[1]CONTROL DIA'!H84</f>
        <v>1519.2575999999999</v>
      </c>
      <c r="M14" s="30">
        <f>+'[1]CONTROL DIA'!I84</f>
        <v>1519</v>
      </c>
      <c r="N14" s="31">
        <f>+'[1]CONTROL DIA'!L84</f>
        <v>0.99983044350082573</v>
      </c>
    </row>
    <row r="15" spans="2:14" x14ac:dyDescent="0.3">
      <c r="C15" s="32">
        <v>2</v>
      </c>
      <c r="D15" s="26">
        <f>+'[1]CONTROL DIA'!F14</f>
        <v>62.29</v>
      </c>
      <c r="E15" s="26">
        <f>+'[1]CONTROL DIA'!G14</f>
        <v>1708.73</v>
      </c>
      <c r="F15" s="9">
        <f>+'[1]CONTROL DIA'!H14</f>
        <v>2479.4279999999999</v>
      </c>
      <c r="G15" s="27">
        <f>+'[1]CONTROL DIA'!I14</f>
        <v>2479</v>
      </c>
      <c r="H15" s="28">
        <f>+'[1]CONTROL DIA'!L14</f>
        <v>0.99982737954076506</v>
      </c>
      <c r="J15" s="29" t="s">
        <v>17</v>
      </c>
      <c r="K15" s="26">
        <f>+'[1]CONTROL DIA'!G85</f>
        <v>848.87999999999738</v>
      </c>
      <c r="L15" s="9">
        <f>+'[1]CONTROL DIA'!H85</f>
        <v>1188.4319999999962</v>
      </c>
      <c r="M15" s="30">
        <f>+'[1]CONTROL DIA'!I85</f>
        <v>1188</v>
      </c>
      <c r="N15" s="31">
        <f>+'[1]CONTROL DIA'!L85</f>
        <v>0.99963649581970515</v>
      </c>
    </row>
    <row r="16" spans="2:14" x14ac:dyDescent="0.3">
      <c r="C16" s="33">
        <v>3</v>
      </c>
      <c r="D16" s="34">
        <f>+'[1]CONTROL DIA'!F15</f>
        <v>61.39</v>
      </c>
      <c r="E16" s="34">
        <f>+'[1]CONTROL DIA'!G15</f>
        <v>463.44</v>
      </c>
      <c r="F16" s="35">
        <f>+'[1]CONTROL DIA'!H15</f>
        <v>734.76200000000006</v>
      </c>
      <c r="G16" s="36">
        <f>+'[1]CONTROL DIA'!I15</f>
        <v>431</v>
      </c>
      <c r="H16" s="37">
        <f>+'[1]CONTROL DIA'!L15</f>
        <v>0.58658449947057678</v>
      </c>
      <c r="J16" s="29" t="s">
        <v>18</v>
      </c>
      <c r="K16" s="26">
        <f>+'[1]CONTROL DIA'!G86</f>
        <v>553.67999999999574</v>
      </c>
      <c r="L16" s="9">
        <f>+'[1]CONTROL DIA'!H86</f>
        <v>775.15199999999402</v>
      </c>
      <c r="M16" s="30">
        <f>+'[1]CONTROL DIA'!I86</f>
        <v>775</v>
      </c>
      <c r="N16" s="31">
        <f>+'[1]CONTROL DIA'!L86</f>
        <v>0.99980390942680397</v>
      </c>
    </row>
    <row r="17" spans="2:14" x14ac:dyDescent="0.3">
      <c r="C17" s="32">
        <v>4</v>
      </c>
      <c r="D17" s="26">
        <f>+'[1]CONTROL DIA'!F16</f>
        <v>67.41</v>
      </c>
      <c r="E17" s="26">
        <f>+'[1]CONTROL DIA'!G16</f>
        <v>413.07</v>
      </c>
      <c r="F17" s="9">
        <f>+'[1]CONTROL DIA'!H16</f>
        <v>672.67200000000003</v>
      </c>
      <c r="G17" s="27">
        <f>+'[1]CONTROL DIA'!I16</f>
        <v>673</v>
      </c>
      <c r="H17" s="28">
        <f>+'[1]CONTROL DIA'!L16</f>
        <v>1.0004876076304647</v>
      </c>
      <c r="J17" s="29" t="s">
        <v>19</v>
      </c>
      <c r="K17" s="26">
        <f>+'[1]CONTROL DIA'!G87</f>
        <v>567.71999999999525</v>
      </c>
      <c r="L17" s="9">
        <f>+'[1]CONTROL DIA'!H87</f>
        <v>794.80799999999329</v>
      </c>
      <c r="M17" s="30">
        <f>+'[1]CONTROL DIA'!I87</f>
        <v>795</v>
      </c>
      <c r="N17" s="31">
        <f>+'[1]CONTROL DIA'!L87</f>
        <v>1.0002415677748673</v>
      </c>
    </row>
    <row r="18" spans="2:14" x14ac:dyDescent="0.3">
      <c r="C18" s="32">
        <v>5</v>
      </c>
      <c r="D18" s="26">
        <f>+'[1]CONTROL DIA'!F17</f>
        <v>59.27</v>
      </c>
      <c r="E18" s="26">
        <f>+'[1]CONTROL DIA'!G17</f>
        <v>590.16999999999996</v>
      </c>
      <c r="F18" s="9">
        <f>+'[1]CONTROL DIA'!H17</f>
        <v>909.21599999999989</v>
      </c>
      <c r="G18" s="27">
        <f>+'[1]CONTROL DIA'!I17</f>
        <v>909</v>
      </c>
      <c r="H18" s="28">
        <f>+'[1]CONTROL DIA'!L17</f>
        <v>0.99976243268926213</v>
      </c>
      <c r="J18" s="29" t="s">
        <v>20</v>
      </c>
      <c r="K18" s="26">
        <f>+'[1]CONTROL DIA'!G88</f>
        <v>698.399999999991</v>
      </c>
      <c r="L18" s="9">
        <f>+'[1]CONTROL DIA'!H88</f>
        <v>977.75999999998737</v>
      </c>
      <c r="M18" s="30">
        <f>+'[1]CONTROL DIA'!I88</f>
        <v>978</v>
      </c>
      <c r="N18" s="31">
        <f>+'[1]CONTROL DIA'!L88</f>
        <v>1.0002454590083585</v>
      </c>
    </row>
    <row r="19" spans="2:14" x14ac:dyDescent="0.3">
      <c r="C19" s="32">
        <v>6</v>
      </c>
      <c r="D19" s="26">
        <f>+'[1]CONTROL DIA'!F18</f>
        <v>48</v>
      </c>
      <c r="E19" s="26">
        <f>+'[1]CONTROL DIA'!G18</f>
        <v>590.29</v>
      </c>
      <c r="F19" s="9">
        <f>+'[1]CONTROL DIA'!H18</f>
        <v>893.60599999999988</v>
      </c>
      <c r="G19" s="27">
        <f>+'[1]CONTROL DIA'!I18</f>
        <v>894</v>
      </c>
      <c r="H19" s="28">
        <f>+'[1]CONTROL DIA'!L18</f>
        <v>1.0004409101997973</v>
      </c>
      <c r="J19" s="29" t="s">
        <v>21</v>
      </c>
      <c r="K19" s="26">
        <f>+'[1]CONTROL DIA'!G89</f>
        <v>531.71999999999525</v>
      </c>
      <c r="L19" s="9">
        <f>+'[1]CONTROL DIA'!H89</f>
        <v>744.40799999999331</v>
      </c>
      <c r="M19" s="30">
        <f>+'[1]CONTROL DIA'!I89</f>
        <v>744</v>
      </c>
      <c r="N19" s="31">
        <f>+'[1]CONTROL DIA'!L89</f>
        <v>0.9994519134668175</v>
      </c>
    </row>
    <row r="20" spans="2:14" x14ac:dyDescent="0.3">
      <c r="C20" s="32">
        <v>7</v>
      </c>
      <c r="D20" s="26">
        <f>+'[1]CONTROL DIA'!F19</f>
        <v>45.47</v>
      </c>
      <c r="E20" s="26">
        <f>+'[1]CONTROL DIA'!G19</f>
        <v>599.02</v>
      </c>
      <c r="F20" s="9">
        <f>+'[1]CONTROL DIA'!H19</f>
        <v>902.28599999999994</v>
      </c>
      <c r="G20" s="27">
        <f>+'[1]CONTROL DIA'!I19</f>
        <v>902</v>
      </c>
      <c r="H20" s="28">
        <f>+'[1]CONTROL DIA'!L19</f>
        <v>0.99968302733279701</v>
      </c>
      <c r="J20" s="29" t="s">
        <v>22</v>
      </c>
      <c r="K20" s="26">
        <f>+'[1]CONTROL DIA'!G90</f>
        <v>334.44000000000278</v>
      </c>
      <c r="L20" s="9">
        <f>+'[1]CONTROL DIA'!H90</f>
        <v>468.21600000000387</v>
      </c>
      <c r="M20" s="30">
        <f>+'[1]CONTROL DIA'!I90</f>
        <v>386</v>
      </c>
      <c r="N20" s="31">
        <f>+'[1]CONTROL DIA'!L90</f>
        <v>0.82440582978795429</v>
      </c>
    </row>
    <row r="21" spans="2:14" x14ac:dyDescent="0.3">
      <c r="C21" s="32">
        <v>8</v>
      </c>
      <c r="D21" s="26">
        <f>+'[1]CONTROL DIA'!F20</f>
        <v>45.97</v>
      </c>
      <c r="E21" s="26">
        <f>+'[1]CONTROL DIA'!G20</f>
        <v>533.12</v>
      </c>
      <c r="F21" s="9">
        <f>+'[1]CONTROL DIA'!H20</f>
        <v>810.726</v>
      </c>
      <c r="G21" s="27">
        <f>+'[1]CONTROL DIA'!I20</f>
        <v>811</v>
      </c>
      <c r="H21" s="28">
        <f>+'[1]CONTROL DIA'!L20</f>
        <v>1.0003379686848577</v>
      </c>
      <c r="J21" s="29" t="s">
        <v>23</v>
      </c>
      <c r="K21" s="26">
        <f>+'[1]CONTROL DIA'!G91</f>
        <v>571.32000000000016</v>
      </c>
      <c r="L21" s="9">
        <f>+'[1]CONTROL DIA'!H91</f>
        <v>799.84800000000018</v>
      </c>
      <c r="M21" s="30">
        <f>+'[1]CONTROL DIA'!I91</f>
        <v>650</v>
      </c>
      <c r="N21" s="31">
        <f>+'[1]CONTROL DIA'!L91</f>
        <v>0.81265440433682379</v>
      </c>
    </row>
    <row r="22" spans="2:14" x14ac:dyDescent="0.3">
      <c r="C22" s="32">
        <v>30</v>
      </c>
      <c r="D22" s="26">
        <f>+'[1]CONTROL DIA'!F21</f>
        <v>71.81</v>
      </c>
      <c r="E22" s="26">
        <f>+'[1]CONTROL DIA'!G21</f>
        <v>278.77</v>
      </c>
      <c r="F22" s="9">
        <f>+'[1]CONTROL DIA'!H21</f>
        <v>490.81199999999995</v>
      </c>
      <c r="G22" s="27">
        <f>+'[1]CONTROL DIA'!I21</f>
        <v>491</v>
      </c>
      <c r="H22" s="28">
        <f>+'[1]CONTROL DIA'!L21</f>
        <v>1.0003830387195098</v>
      </c>
      <c r="J22" s="29" t="s">
        <v>24</v>
      </c>
      <c r="K22" s="26">
        <f>+'[1]CONTROL DIA'!G92</f>
        <v>786.9599999999964</v>
      </c>
      <c r="L22" s="9">
        <f>+'[1]CONTROL DIA'!H92</f>
        <v>1101.7439999999949</v>
      </c>
      <c r="M22" s="30">
        <f>+'[1]CONTROL DIA'!I92</f>
        <v>911</v>
      </c>
      <c r="N22" s="31">
        <f>+'[1]CONTROL DIA'!L92</f>
        <v>0.82687085203096566</v>
      </c>
    </row>
    <row r="23" spans="2:14" x14ac:dyDescent="0.3">
      <c r="B23" s="38" t="s">
        <v>25</v>
      </c>
      <c r="C23" s="39">
        <v>30</v>
      </c>
      <c r="D23" s="40">
        <f>+'[1]CONTROL DIA'!F22</f>
        <v>0</v>
      </c>
      <c r="E23" s="40">
        <f>+'[1]CONTROL DIA'!G22</f>
        <v>0</v>
      </c>
      <c r="F23" s="41">
        <f>+'[1]CONTROL DIA'!H22</f>
        <v>0</v>
      </c>
      <c r="G23" s="42">
        <f>+'[1]CONTROL DIA'!I22</f>
        <v>228</v>
      </c>
      <c r="H23" s="43">
        <f>+'[1]CONTROL DIA'!L22</f>
        <v>0</v>
      </c>
      <c r="J23" s="29" t="s">
        <v>26</v>
      </c>
      <c r="K23" s="26">
        <f>+'[1]CONTROL DIA'!G93</f>
        <v>584.27999999999656</v>
      </c>
      <c r="L23" s="9">
        <f>+'[1]CONTROL DIA'!H93</f>
        <v>817.99199999999519</v>
      </c>
      <c r="M23" s="30">
        <f>+'[1]CONTROL DIA'!I93</f>
        <v>660</v>
      </c>
      <c r="N23" s="31">
        <f>+'[1]CONTROL DIA'!L93</f>
        <v>0.80685385676144006</v>
      </c>
    </row>
    <row r="24" spans="2:14" x14ac:dyDescent="0.3">
      <c r="C24" s="32">
        <v>31</v>
      </c>
      <c r="D24" s="26">
        <f>+'[1]CONTROL DIA'!F23</f>
        <v>59.85</v>
      </c>
      <c r="E24" s="26">
        <f>+'[1]CONTROL DIA'!G23</f>
        <v>104.71</v>
      </c>
      <c r="F24" s="9">
        <f>+'[1]CONTROL DIA'!H23</f>
        <v>230.38399999999999</v>
      </c>
      <c r="G24" s="27">
        <f>+'[1]CONTROL DIA'!I23</f>
        <v>230</v>
      </c>
      <c r="H24" s="28">
        <f>+'[1]CONTROL DIA'!L23</f>
        <v>0.99833321758455451</v>
      </c>
      <c r="J24" s="29" t="s">
        <v>27</v>
      </c>
      <c r="K24" s="26">
        <f>+'[1]CONTROL DIA'!G94</f>
        <v>353.16000000000213</v>
      </c>
      <c r="L24" s="9">
        <f>+'[1]CONTROL DIA'!H94</f>
        <v>494.42400000000293</v>
      </c>
      <c r="M24" s="30">
        <f>+'[1]CONTROL DIA'!I94</f>
        <v>246</v>
      </c>
      <c r="N24" s="31">
        <f>+'[1]CONTROL DIA'!L94</f>
        <v>0.4975486626862744</v>
      </c>
    </row>
    <row r="25" spans="2:14" x14ac:dyDescent="0.3">
      <c r="B25" s="38" t="s">
        <v>25</v>
      </c>
      <c r="C25" s="39">
        <v>31</v>
      </c>
      <c r="D25" s="40">
        <f>+'[1]CONTROL DIA'!F24</f>
        <v>0</v>
      </c>
      <c r="E25" s="40">
        <f>+'[1]CONTROL DIA'!G24</f>
        <v>0</v>
      </c>
      <c r="F25" s="41">
        <f>+'[1]CONTROL DIA'!H24</f>
        <v>0</v>
      </c>
      <c r="G25" s="42">
        <f>+'[1]CONTROL DIA'!I24</f>
        <v>350</v>
      </c>
      <c r="H25" s="43">
        <f>+'[1]CONTROL DIA'!L24</f>
        <v>0</v>
      </c>
      <c r="J25" s="29" t="s">
        <v>28</v>
      </c>
      <c r="K25" s="26">
        <f>+'[1]CONTROL DIA'!G95</f>
        <v>277.5600000000054</v>
      </c>
      <c r="L25" s="9">
        <f>+'[1]CONTROL DIA'!H95</f>
        <v>388.58400000000756</v>
      </c>
      <c r="M25" s="30">
        <f>+'[1]CONTROL DIA'!I95</f>
        <v>172</v>
      </c>
      <c r="N25" s="31">
        <f>+'[1]CONTROL DIA'!L95</f>
        <v>0.44263273835257411</v>
      </c>
    </row>
    <row r="26" spans="2:14" x14ac:dyDescent="0.3">
      <c r="C26" s="32">
        <v>32</v>
      </c>
      <c r="D26" s="26">
        <f>+'[1]CONTROL DIA'!F25</f>
        <v>57.52</v>
      </c>
      <c r="E26" s="26">
        <f>+'[1]CONTROL DIA'!G25</f>
        <v>46.17</v>
      </c>
      <c r="F26" s="9">
        <f>+'[1]CONTROL DIA'!H25</f>
        <v>145.166</v>
      </c>
      <c r="G26" s="27">
        <f>+'[1]CONTROL DIA'!I25</f>
        <v>145</v>
      </c>
      <c r="H26" s="28">
        <f>+'[1]CONTROL DIA'!L25</f>
        <v>0.99885648154526541</v>
      </c>
      <c r="J26" s="29" t="s">
        <v>29</v>
      </c>
      <c r="K26" s="26">
        <f>+'[1]CONTROL DIA'!G96</f>
        <v>287.28000000000065</v>
      </c>
      <c r="L26" s="9">
        <f>+'[1]CONTROL DIA'!H96</f>
        <v>402.19200000000092</v>
      </c>
      <c r="M26" s="30">
        <f>+'[1]CONTROL DIA'!I96</f>
        <v>150</v>
      </c>
      <c r="N26" s="31">
        <f>+'[1]CONTROL DIA'!L96</f>
        <v>0.37295620002386837</v>
      </c>
    </row>
    <row r="27" spans="2:14" x14ac:dyDescent="0.3">
      <c r="B27" s="38" t="s">
        <v>25</v>
      </c>
      <c r="C27" s="39">
        <v>32</v>
      </c>
      <c r="D27" s="40">
        <f>+'[1]CONTROL DIA'!F26</f>
        <v>0</v>
      </c>
      <c r="E27" s="40">
        <f>+'[1]CONTROL DIA'!G26</f>
        <v>0</v>
      </c>
      <c r="F27" s="41">
        <f>+'[1]CONTROL DIA'!H26</f>
        <v>0</v>
      </c>
      <c r="G27" s="42">
        <f>+'[1]CONTROL DIA'!I26</f>
        <v>1095</v>
      </c>
      <c r="H27" s="43">
        <f>+'[1]CONTROL DIA'!L26</f>
        <v>0</v>
      </c>
      <c r="J27" s="29" t="s">
        <v>30</v>
      </c>
      <c r="K27" s="26">
        <f>+'[1]CONTROL DIA'!G97</f>
        <v>413.63999999999623</v>
      </c>
      <c r="L27" s="9">
        <f>+'[1]CONTROL DIA'!H97</f>
        <v>579.09599999999466</v>
      </c>
      <c r="M27" s="30">
        <f>+'[1]CONTROL DIA'!I97</f>
        <v>188</v>
      </c>
      <c r="N27" s="31">
        <f>+'[1]CONTROL DIA'!L97</f>
        <v>0.32464392777709006</v>
      </c>
    </row>
    <row r="28" spans="2:14" x14ac:dyDescent="0.3">
      <c r="C28" s="32">
        <v>33</v>
      </c>
      <c r="D28" s="26">
        <f>+'[1]CONTROL DIA'!F27</f>
        <v>42.84</v>
      </c>
      <c r="E28" s="26">
        <f>+'[1]CONTROL DIA'!G27</f>
        <v>661.84</v>
      </c>
      <c r="F28" s="9">
        <f>+'[1]CONTROL DIA'!H27</f>
        <v>986.55200000000002</v>
      </c>
      <c r="G28" s="27">
        <f>+'[1]CONTROL DIA'!I27</f>
        <v>987</v>
      </c>
      <c r="H28" s="28">
        <f>+'[1]CONTROL DIA'!L27</f>
        <v>1.0004541068286315</v>
      </c>
      <c r="J28" s="29" t="s">
        <v>31</v>
      </c>
      <c r="K28" s="26">
        <f>+'[1]CONTROL DIA'!G98</f>
        <v>382.31999999999198</v>
      </c>
      <c r="L28" s="9">
        <f>+'[1]CONTROL DIA'!H98</f>
        <v>535.24799999998879</v>
      </c>
      <c r="M28" s="30">
        <f>+'[1]CONTROL DIA'!I98</f>
        <v>175</v>
      </c>
      <c r="N28" s="31">
        <f>+'[1]CONTROL DIA'!L98</f>
        <v>0.32695124503034795</v>
      </c>
    </row>
    <row r="29" spans="2:14" x14ac:dyDescent="0.3">
      <c r="B29" s="38" t="s">
        <v>25</v>
      </c>
      <c r="C29" s="39">
        <v>33</v>
      </c>
      <c r="D29" s="40">
        <f>+'[1]CONTROL DIA'!F28</f>
        <v>0</v>
      </c>
      <c r="E29" s="40">
        <f>+'[1]CONTROL DIA'!G28</f>
        <v>0</v>
      </c>
      <c r="F29" s="41">
        <f>+'[1]CONTROL DIA'!H28</f>
        <v>0</v>
      </c>
      <c r="G29" s="42">
        <f>+'[1]CONTROL DIA'!I28</f>
        <v>760</v>
      </c>
      <c r="H29" s="43">
        <f>+'[1]CONTROL DIA'!L28</f>
        <v>0</v>
      </c>
      <c r="J29" s="29" t="s">
        <v>32</v>
      </c>
      <c r="K29" s="26">
        <f>+'[1]CONTROL DIA'!G99</f>
        <v>252.71999999999522</v>
      </c>
      <c r="L29" s="9">
        <f>+'[1]CONTROL DIA'!H99</f>
        <v>353.80799999999329</v>
      </c>
      <c r="M29" s="30">
        <f>+'[1]CONTROL DIA'!I99</f>
        <v>111</v>
      </c>
      <c r="N29" s="31">
        <f>+'[1]CONTROL DIA'!L99</f>
        <v>0.313729480396153</v>
      </c>
    </row>
    <row r="30" spans="2:14" x14ac:dyDescent="0.3">
      <c r="C30" s="32">
        <v>34</v>
      </c>
      <c r="D30" s="26">
        <f>+'[1]CONTROL DIA'!F29</f>
        <v>42.35</v>
      </c>
      <c r="E30" s="26">
        <f>+'[1]CONTROL DIA'!G29</f>
        <v>634.92999999999995</v>
      </c>
      <c r="F30" s="9">
        <f>+'[1]CONTROL DIA'!H29</f>
        <v>948.19199999999989</v>
      </c>
      <c r="G30" s="27">
        <f>+'[1]CONTROL DIA'!I29</f>
        <v>948</v>
      </c>
      <c r="H30" s="28">
        <f>+'[1]CONTROL DIA'!L29</f>
        <v>0.99979750936519196</v>
      </c>
      <c r="J30" s="29" t="s">
        <v>33</v>
      </c>
      <c r="K30" s="26">
        <f>+'[1]CONTROL DIA'!G100</f>
        <v>307.4399999999946</v>
      </c>
      <c r="L30" s="9">
        <f>+'[1]CONTROL DIA'!H100</f>
        <v>430.41599999999244</v>
      </c>
      <c r="M30" s="30">
        <f>+'[1]CONTROL DIA'!I100</f>
        <v>125</v>
      </c>
      <c r="N30" s="31">
        <f>+'[1]CONTROL DIA'!L100</f>
        <v>0.29041671313334588</v>
      </c>
    </row>
    <row r="31" spans="2:14" x14ac:dyDescent="0.3">
      <c r="B31" s="38" t="s">
        <v>25</v>
      </c>
      <c r="C31" s="39">
        <v>34</v>
      </c>
      <c r="D31" s="40">
        <f>+'[1]CONTROL DIA'!F30</f>
        <v>0</v>
      </c>
      <c r="E31" s="40">
        <f>+'[1]CONTROL DIA'!G30</f>
        <v>0</v>
      </c>
      <c r="F31" s="41">
        <f>+'[1]CONTROL DIA'!H30</f>
        <v>0</v>
      </c>
      <c r="G31" s="42">
        <f>+'[1]CONTROL DIA'!I30</f>
        <v>720</v>
      </c>
      <c r="H31" s="43">
        <f>+'[1]CONTROL DIA'!L30</f>
        <v>0</v>
      </c>
      <c r="J31" s="29" t="s">
        <v>34</v>
      </c>
      <c r="K31" s="26">
        <f>+'[1]CONTROL DIA'!G101</f>
        <v>446.39999999999503</v>
      </c>
      <c r="L31" s="9">
        <f>+'[1]CONTROL DIA'!H101</f>
        <v>624.95999999999299</v>
      </c>
      <c r="M31" s="30">
        <f>+'[1]CONTROL DIA'!I101</f>
        <v>180</v>
      </c>
      <c r="N31" s="31">
        <f>+'[1]CONTROL DIA'!L101</f>
        <v>0.28801843317972675</v>
      </c>
    </row>
    <row r="32" spans="2:14" x14ac:dyDescent="0.3">
      <c r="C32" s="32">
        <v>35</v>
      </c>
      <c r="D32" s="26">
        <f>+'[1]CONTROL DIA'!F31</f>
        <v>44.24</v>
      </c>
      <c r="E32" s="26">
        <f>+'[1]CONTROL DIA'!G31</f>
        <v>413.6</v>
      </c>
      <c r="F32" s="9">
        <f>+'[1]CONTROL DIA'!H31</f>
        <v>640.976</v>
      </c>
      <c r="G32" s="27">
        <f>+'[1]CONTROL DIA'!I31</f>
        <v>641</v>
      </c>
      <c r="H32" s="28">
        <f>+'[1]CONTROL DIA'!L31</f>
        <v>1.0000374428995782</v>
      </c>
      <c r="J32" s="29" t="s">
        <v>35</v>
      </c>
      <c r="K32" s="26">
        <f>+'[1]CONTROL DIA'!G102</f>
        <v>360</v>
      </c>
      <c r="L32" s="9">
        <f>+'[1]CONTROL DIA'!H102</f>
        <v>503.99999999999994</v>
      </c>
      <c r="M32" s="30">
        <f>+'[1]CONTROL DIA'!I102</f>
        <v>300</v>
      </c>
      <c r="N32" s="31">
        <f>+'[1]CONTROL DIA'!L102</f>
        <v>0.59523809523809534</v>
      </c>
    </row>
    <row r="33" spans="2:14" x14ac:dyDescent="0.3">
      <c r="B33" s="38" t="s">
        <v>25</v>
      </c>
      <c r="C33" s="39">
        <v>35</v>
      </c>
      <c r="D33" s="40">
        <f>+'[1]CONTROL DIA'!F32</f>
        <v>0</v>
      </c>
      <c r="E33" s="40">
        <f>+'[1]CONTROL DIA'!G32</f>
        <v>0</v>
      </c>
      <c r="F33" s="41">
        <f>+'[1]CONTROL DIA'!H32</f>
        <v>0</v>
      </c>
      <c r="G33" s="42">
        <f>+'[1]CONTROL DIA'!I32</f>
        <v>781</v>
      </c>
      <c r="H33" s="43">
        <f>+'[1]CONTROL DIA'!L32</f>
        <v>0</v>
      </c>
      <c r="J33" s="29" t="s">
        <v>36</v>
      </c>
      <c r="K33" s="26">
        <f>+'[1]CONTROL DIA'!G103</f>
        <v>150.11999999999853</v>
      </c>
      <c r="L33" s="9">
        <f>+'[1]CONTROL DIA'!H103</f>
        <v>210.16799999999793</v>
      </c>
      <c r="M33" s="30">
        <f>+'[1]CONTROL DIA'!I103</f>
        <v>132</v>
      </c>
      <c r="N33" s="31">
        <f>+'[1]CONTROL DIA'!L103</f>
        <v>0.62806897339272061</v>
      </c>
    </row>
    <row r="34" spans="2:14" x14ac:dyDescent="0.3">
      <c r="C34" s="32">
        <v>36</v>
      </c>
      <c r="D34" s="26">
        <f>+'[1]CONTROL DIA'!F33</f>
        <v>48.64</v>
      </c>
      <c r="E34" s="26">
        <f>+'[1]CONTROL DIA'!G33</f>
        <v>457.57</v>
      </c>
      <c r="F34" s="9">
        <f>+'[1]CONTROL DIA'!H33</f>
        <v>708.69399999999996</v>
      </c>
      <c r="G34" s="27">
        <f>+'[1]CONTROL DIA'!I33</f>
        <v>709</v>
      </c>
      <c r="H34" s="28">
        <f>+'[1]CONTROL DIA'!L33</f>
        <v>1.0004317801477083</v>
      </c>
      <c r="J34" s="29" t="s">
        <v>37</v>
      </c>
      <c r="K34" s="26">
        <f>+'[1]CONTROL DIA'!G104</f>
        <v>90.72</v>
      </c>
      <c r="L34" s="9">
        <f>+'[1]CONTROL DIA'!H104</f>
        <v>127.008</v>
      </c>
      <c r="M34" s="30">
        <f>+'[1]CONTROL DIA'!I104</f>
        <v>70</v>
      </c>
      <c r="N34" s="31">
        <f>+'[1]CONTROL DIA'!L104</f>
        <v>0.55114638447971787</v>
      </c>
    </row>
    <row r="35" spans="2:14" x14ac:dyDescent="0.3">
      <c r="B35" s="38" t="s">
        <v>25</v>
      </c>
      <c r="C35" s="39">
        <v>36</v>
      </c>
      <c r="D35" s="40">
        <f>+'[1]CONTROL DIA'!F34</f>
        <v>0</v>
      </c>
      <c r="E35" s="40">
        <f>+'[1]CONTROL DIA'!G34</f>
        <v>0</v>
      </c>
      <c r="F35" s="41">
        <f>+'[1]CONTROL DIA'!H34</f>
        <v>0</v>
      </c>
      <c r="G35" s="42">
        <f>+'[1]CONTROL DIA'!I34</f>
        <v>554</v>
      </c>
      <c r="H35" s="43">
        <f>+'[1]CONTROL DIA'!L34</f>
        <v>0</v>
      </c>
      <c r="J35" s="29" t="s">
        <v>38</v>
      </c>
      <c r="K35" s="26">
        <f>+'[1]CONTROL DIA'!G105</f>
        <v>88.200000000001637</v>
      </c>
      <c r="L35" s="9">
        <f>+'[1]CONTROL DIA'!H105</f>
        <v>123.48000000000228</v>
      </c>
      <c r="M35" s="30">
        <f>+'[1]CONTROL DIA'!I105</f>
        <v>70</v>
      </c>
      <c r="N35" s="31">
        <f>+'[1]CONTROL DIA'!L105</f>
        <v>0.56689342403627074</v>
      </c>
    </row>
    <row r="36" spans="2:14" x14ac:dyDescent="0.3">
      <c r="C36" s="33">
        <v>47</v>
      </c>
      <c r="D36" s="34">
        <f>+'[1]CONTROL DIA'!F35</f>
        <v>57.45</v>
      </c>
      <c r="E36" s="34">
        <f>+'[1]CONTROL DIA'!G35</f>
        <v>1133.05</v>
      </c>
      <c r="F36" s="35">
        <f>+'[1]CONTROL DIA'!H35</f>
        <v>1666.6999999999998</v>
      </c>
      <c r="G36" s="36">
        <f>+'[1]CONTROL DIA'!I35</f>
        <v>0</v>
      </c>
      <c r="H36" s="37">
        <f>+'[1]CONTROL DIA'!L35</f>
        <v>0</v>
      </c>
      <c r="J36" s="29" t="s">
        <v>39</v>
      </c>
      <c r="K36" s="26">
        <f>+'[1]CONTROL DIA'!G106</f>
        <v>209.51999999999771</v>
      </c>
      <c r="L36" s="9">
        <f>+'[1]CONTROL DIA'!H106</f>
        <v>293.32799999999679</v>
      </c>
      <c r="M36" s="30">
        <f>+'[1]CONTROL DIA'!I106</f>
        <v>150</v>
      </c>
      <c r="N36" s="31">
        <f>+'[1]CONTROL DIA'!L106</f>
        <v>0.51137293405335205</v>
      </c>
    </row>
    <row r="37" spans="2:14" x14ac:dyDescent="0.3">
      <c r="C37" s="33">
        <v>48</v>
      </c>
      <c r="D37" s="34">
        <f>+'[1]CONTROL DIA'!F36</f>
        <v>78.86</v>
      </c>
      <c r="E37" s="34">
        <f>+'[1]CONTROL DIA'!G36</f>
        <v>412.96</v>
      </c>
      <c r="F37" s="35">
        <f>+'[1]CONTROL DIA'!H36</f>
        <v>688.548</v>
      </c>
      <c r="G37" s="36">
        <f>+'[1]CONTROL DIA'!I36</f>
        <v>0</v>
      </c>
      <c r="H37" s="37">
        <f>+'[1]CONTROL DIA'!L36</f>
        <v>0</v>
      </c>
      <c r="J37" s="29" t="s">
        <v>40</v>
      </c>
      <c r="K37" s="26">
        <f>+'[1]CONTROL DIA'!G107</f>
        <v>437.39999999999509</v>
      </c>
      <c r="L37" s="9">
        <f>+'[1]CONTROL DIA'!H107</f>
        <v>612.35999999999308</v>
      </c>
      <c r="M37" s="30">
        <f>+'[1]CONTROL DIA'!I107</f>
        <v>350</v>
      </c>
      <c r="N37" s="31">
        <f>+'[1]CONTROL DIA'!L107</f>
        <v>0.57155921353452865</v>
      </c>
    </row>
    <row r="38" spans="2:14" x14ac:dyDescent="0.3">
      <c r="C38" s="32">
        <v>9</v>
      </c>
      <c r="D38" s="26">
        <f>+'[1]CONTROL DIA'!F37</f>
        <v>61.15</v>
      </c>
      <c r="E38" s="26">
        <f>+'[1]CONTROL DIA'!G37</f>
        <v>2013.71</v>
      </c>
      <c r="F38" s="9">
        <f>+'[1]CONTROL DIA'!H37</f>
        <v>2904.8040000000001</v>
      </c>
      <c r="G38" s="27">
        <f>+'[1]CONTROL DIA'!I37</f>
        <v>2905</v>
      </c>
      <c r="H38" s="28">
        <f>+'[1]CONTROL DIA'!L37</f>
        <v>1.0000674744320099</v>
      </c>
      <c r="J38" s="21" t="s">
        <v>41</v>
      </c>
      <c r="K38" s="26">
        <f>+'[1]CONTROL DIA'!G108</f>
        <v>686.88000000000147</v>
      </c>
      <c r="L38" s="9">
        <f>+'[1]CONTROL DIA'!H108</f>
        <v>961.63200000000199</v>
      </c>
      <c r="M38" s="30">
        <f>+'[1]CONTROL DIA'!I108</f>
        <v>733</v>
      </c>
      <c r="N38" s="31">
        <f>+'[1]CONTROL DIA'!L108</f>
        <v>0.76224584872383461</v>
      </c>
    </row>
    <row r="39" spans="2:14" x14ac:dyDescent="0.3">
      <c r="C39" s="32">
        <v>10</v>
      </c>
      <c r="D39" s="26">
        <f>+'[1]CONTROL DIA'!F38</f>
        <v>58.05</v>
      </c>
      <c r="E39" s="26">
        <f>+'[1]CONTROL DIA'!G38</f>
        <v>1558.62</v>
      </c>
      <c r="F39" s="9">
        <f>+'[1]CONTROL DIA'!H38</f>
        <v>2263.3379999999997</v>
      </c>
      <c r="G39" s="27">
        <f>+'[1]CONTROL DIA'!I38</f>
        <v>2263</v>
      </c>
      <c r="H39" s="28">
        <f>+'[1]CONTROL DIA'!L38</f>
        <v>0.99985066304723391</v>
      </c>
      <c r="J39" s="21" t="s">
        <v>42</v>
      </c>
      <c r="K39" s="26">
        <f>+'[1]CONTROL DIA'!G109</f>
        <v>914.76000000000295</v>
      </c>
      <c r="L39" s="9">
        <f>+'[1]CONTROL DIA'!H109</f>
        <v>1280.6640000000041</v>
      </c>
      <c r="M39" s="30">
        <f>+'[1]CONTROL DIA'!I109</f>
        <v>931</v>
      </c>
      <c r="N39" s="31">
        <f>+'[1]CONTROL DIA'!L109</f>
        <v>0.72696663605754286</v>
      </c>
    </row>
    <row r="40" spans="2:14" x14ac:dyDescent="0.3">
      <c r="C40" s="32">
        <v>11</v>
      </c>
      <c r="D40" s="26">
        <f>+'[1]CONTROL DIA'!F39</f>
        <v>81.67</v>
      </c>
      <c r="E40" s="26">
        <f>+'[1]CONTROL DIA'!G39</f>
        <v>1793.83</v>
      </c>
      <c r="F40" s="9">
        <f>+'[1]CONTROL DIA'!H39</f>
        <v>2625.7</v>
      </c>
      <c r="G40" s="27">
        <f>+'[1]CONTROL DIA'!I39</f>
        <v>2624</v>
      </c>
      <c r="H40" s="28">
        <f>+'[1]CONTROL DIA'!L39</f>
        <v>0.99935255360475306</v>
      </c>
      <c r="J40" s="29" t="s">
        <v>43</v>
      </c>
      <c r="K40" s="26">
        <f>+'[1]CONTROL DIA'!G110</f>
        <v>2550</v>
      </c>
      <c r="L40" s="9">
        <f>+'[1]CONTROL DIA'!H110</f>
        <v>3570</v>
      </c>
      <c r="M40" s="30">
        <f>+'[1]CONTROL DIA'!I110</f>
        <v>2476</v>
      </c>
      <c r="N40" s="31">
        <f>+'[1]CONTROL DIA'!L110</f>
        <v>0.69355742296918765</v>
      </c>
    </row>
    <row r="41" spans="2:14" x14ac:dyDescent="0.3">
      <c r="C41" s="32">
        <v>40</v>
      </c>
      <c r="D41" s="26">
        <f>+'[1]CONTROL DIA'!F40</f>
        <v>71.02</v>
      </c>
      <c r="E41" s="26">
        <f>+'[1]CONTROL DIA'!G40</f>
        <v>1078.69</v>
      </c>
      <c r="F41" s="9">
        <f>+'[1]CONTROL DIA'!H40</f>
        <v>1609.5940000000001</v>
      </c>
      <c r="G41" s="27">
        <f>+'[1]CONTROL DIA'!I40</f>
        <v>1552</v>
      </c>
      <c r="H41" s="28">
        <f>+'[1]CONTROL DIA'!L40</f>
        <v>0.96421830598275093</v>
      </c>
      <c r="J41" s="29" t="s">
        <v>44</v>
      </c>
      <c r="K41" s="26">
        <f>+'[1]CONTROL DIA'!G111</f>
        <v>312</v>
      </c>
      <c r="L41" s="9">
        <f>+'[1]CONTROL DIA'!H111</f>
        <v>436.79999999999995</v>
      </c>
      <c r="M41" s="30">
        <f>+'[1]CONTROL DIA'!I111</f>
        <v>71</v>
      </c>
      <c r="N41" s="31">
        <f>+'[1]CONTROL DIA'!L111</f>
        <v>0.16254578754578755</v>
      </c>
    </row>
    <row r="42" spans="2:14" x14ac:dyDescent="0.3">
      <c r="C42" s="32">
        <v>41</v>
      </c>
      <c r="D42" s="26">
        <f>+'[1]CONTROL DIA'!F41</f>
        <v>68.430000000000007</v>
      </c>
      <c r="E42" s="26">
        <f>+'[1]CONTROL DIA'!G41</f>
        <v>1397.45</v>
      </c>
      <c r="F42" s="9">
        <f>+'[1]CONTROL DIA'!H41</f>
        <v>2052.232</v>
      </c>
      <c r="G42" s="27">
        <f>+'[1]CONTROL DIA'!I41</f>
        <v>2052</v>
      </c>
      <c r="H42" s="28">
        <f>+'[1]CONTROL DIA'!L41</f>
        <v>0.99988695235236569</v>
      </c>
      <c r="J42" s="29" t="s">
        <v>45</v>
      </c>
      <c r="K42" s="26">
        <f>+'[1]CONTROL DIA'!G112</f>
        <v>129</v>
      </c>
      <c r="L42" s="9">
        <f>+'[1]CONTROL DIA'!H112</f>
        <v>180.6</v>
      </c>
      <c r="M42" s="30">
        <f>+'[1]CONTROL DIA'!I112</f>
        <v>181</v>
      </c>
      <c r="N42" s="31">
        <f>+'[1]CONTROL DIA'!L112</f>
        <v>1.0022148394241417</v>
      </c>
    </row>
    <row r="43" spans="2:14" ht="15" thickBot="1" x14ac:dyDescent="0.35">
      <c r="C43" s="32">
        <v>42</v>
      </c>
      <c r="D43" s="26">
        <f>+'[1]CONTROL DIA'!F42</f>
        <v>51.9</v>
      </c>
      <c r="E43" s="26">
        <f>+'[1]CONTROL DIA'!G42</f>
        <v>1126.18</v>
      </c>
      <c r="F43" s="9">
        <f>+'[1]CONTROL DIA'!H42</f>
        <v>1649.3120000000001</v>
      </c>
      <c r="G43" s="27">
        <f>+'[1]CONTROL DIA'!I42</f>
        <v>1649</v>
      </c>
      <c r="H43" s="28">
        <f>+'[1]CONTROL DIA'!L42</f>
        <v>0.99981083021284023</v>
      </c>
      <c r="J43" s="44" t="s">
        <v>46</v>
      </c>
      <c r="K43" s="26">
        <f>+'[1]CONTROL DIA'!G113</f>
        <v>3305</v>
      </c>
      <c r="L43" s="9">
        <f>+'[1]CONTROL DIA'!H113</f>
        <v>4627</v>
      </c>
      <c r="M43" s="30">
        <f>+'[1]CONTROL DIA'!I113</f>
        <v>3466</v>
      </c>
      <c r="N43" s="31">
        <f>+'[1]CONTROL DIA'!L113</f>
        <v>0.74908147827966287</v>
      </c>
    </row>
    <row r="44" spans="2:14" ht="15" thickBot="1" x14ac:dyDescent="0.35">
      <c r="C44" s="32">
        <v>43</v>
      </c>
      <c r="D44" s="26">
        <f>+'[1]CONTROL DIA'!F43</f>
        <v>66.25</v>
      </c>
      <c r="E44" s="26">
        <f>+'[1]CONTROL DIA'!G43</f>
        <v>687.52</v>
      </c>
      <c r="F44" s="9">
        <f>+'[1]CONTROL DIA'!H43</f>
        <v>1055.278</v>
      </c>
      <c r="G44" s="27">
        <f>+'[1]CONTROL DIA'!I43</f>
        <v>1053</v>
      </c>
      <c r="H44" s="28">
        <f>+'[1]CONTROL DIA'!L43</f>
        <v>0.99784132711948892</v>
      </c>
      <c r="J44" s="44" t="s">
        <v>47</v>
      </c>
      <c r="K44" s="26">
        <f>+'[1]CONTROL DIA'!G114</f>
        <v>0</v>
      </c>
      <c r="L44" s="9">
        <f>+'[1]CONTROL DIA'!H114</f>
        <v>0</v>
      </c>
      <c r="M44" s="30">
        <f>+'[1]CONTROL DIA'!I114</f>
        <v>1725</v>
      </c>
      <c r="N44" s="31">
        <f>+'[1]CONTROL DIA'!L114</f>
        <v>0</v>
      </c>
    </row>
    <row r="45" spans="2:14" x14ac:dyDescent="0.3">
      <c r="C45" s="32">
        <v>44</v>
      </c>
      <c r="D45" s="26">
        <f>+'[1]CONTROL DIA'!F44</f>
        <v>45.09</v>
      </c>
      <c r="E45" s="26">
        <f>+'[1]CONTROL DIA'!G44</f>
        <v>414.36</v>
      </c>
      <c r="F45" s="9">
        <f>+'[1]CONTROL DIA'!H44</f>
        <v>643.23</v>
      </c>
      <c r="G45" s="27">
        <f>+'[1]CONTROL DIA'!I44</f>
        <v>643</v>
      </c>
      <c r="H45" s="28">
        <f>+'[1]CONTROL DIA'!L44</f>
        <v>0.99964242961304661</v>
      </c>
      <c r="K45" s="45">
        <f>SUM(K14:K44)</f>
        <v>18516.703999999943</v>
      </c>
      <c r="L45" s="45">
        <f>SUM(L14:L44)</f>
        <v>25923.385599999925</v>
      </c>
      <c r="M45" s="45">
        <f>SUM(M14:M44)</f>
        <v>20608</v>
      </c>
    </row>
    <row r="46" spans="2:14" x14ac:dyDescent="0.3">
      <c r="C46" s="32">
        <v>45</v>
      </c>
      <c r="D46" s="26">
        <f>+'[1]CONTROL DIA'!F45</f>
        <v>56.01</v>
      </c>
      <c r="E46" s="26">
        <f>+'[1]CONTROL DIA'!G45</f>
        <v>619.42999999999995</v>
      </c>
      <c r="F46" s="9">
        <f>+'[1]CONTROL DIA'!H45</f>
        <v>945.61599999999987</v>
      </c>
      <c r="G46" s="27">
        <f>+'[1]CONTROL DIA'!I45</f>
        <v>487</v>
      </c>
      <c r="H46" s="28">
        <f>+'[1]CONTROL DIA'!L45</f>
        <v>0.51500820629092581</v>
      </c>
    </row>
    <row r="47" spans="2:14" x14ac:dyDescent="0.3">
      <c r="C47" s="32">
        <v>46</v>
      </c>
      <c r="D47" s="26">
        <f>+'[1]CONTROL DIA'!F46</f>
        <v>68.12</v>
      </c>
      <c r="E47" s="26">
        <f>+'[1]CONTROL DIA'!G46</f>
        <v>1083.75</v>
      </c>
      <c r="F47" s="9">
        <f>+'[1]CONTROL DIA'!H46</f>
        <v>1612.6179999999997</v>
      </c>
      <c r="G47" s="27">
        <f>+'[1]CONTROL DIA'!I46</f>
        <v>833</v>
      </c>
      <c r="H47" s="28">
        <f>+'[1]CONTROL DIA'!L46</f>
        <v>0.516551346940193</v>
      </c>
    </row>
    <row r="48" spans="2:14" x14ac:dyDescent="0.3">
      <c r="C48" s="33">
        <v>37</v>
      </c>
      <c r="D48" s="34">
        <f>+'[1]CONTROL DIA'!F47</f>
        <v>54.4</v>
      </c>
      <c r="E48" s="34">
        <f>+'[1]CONTROL DIA'!G47</f>
        <v>630.79</v>
      </c>
      <c r="F48" s="35">
        <f>+'[1]CONTROL DIA'!H47</f>
        <v>959.26599999999985</v>
      </c>
      <c r="G48" s="36">
        <f>+'[1]CONTROL DIA'!I47</f>
        <v>0</v>
      </c>
      <c r="H48" s="37">
        <f>+'[1]CONTROL DIA'!L47</f>
        <v>0</v>
      </c>
    </row>
    <row r="49" spans="3:8" x14ac:dyDescent="0.3">
      <c r="C49" s="33">
        <v>38</v>
      </c>
      <c r="D49" s="34">
        <f>+'[1]CONTROL DIA'!F48</f>
        <v>58.95</v>
      </c>
      <c r="E49" s="34">
        <f>+'[1]CONTROL DIA'!G48</f>
        <v>219.07</v>
      </c>
      <c r="F49" s="35">
        <f>+'[1]CONTROL DIA'!H48</f>
        <v>389.22799999999995</v>
      </c>
      <c r="G49" s="36">
        <f>+'[1]CONTROL DIA'!I48</f>
        <v>0</v>
      </c>
      <c r="H49" s="37">
        <f>+'[1]CONTROL DIA'!L48</f>
        <v>0</v>
      </c>
    </row>
    <row r="50" spans="3:8" x14ac:dyDescent="0.3">
      <c r="C50" s="32">
        <v>39</v>
      </c>
      <c r="D50" s="26">
        <f>+'[1]CONTROL DIA'!F49</f>
        <v>74.94</v>
      </c>
      <c r="E50" s="26">
        <f>+'[1]CONTROL DIA'!G49</f>
        <v>74.41</v>
      </c>
      <c r="F50" s="9">
        <f>+'[1]CONTROL DIA'!H49</f>
        <v>209.08999999999997</v>
      </c>
      <c r="G50" s="27">
        <f>+'[1]CONTROL DIA'!I49</f>
        <v>50</v>
      </c>
      <c r="H50" s="28">
        <f>+'[1]CONTROL DIA'!L49</f>
        <v>0.2391314744846717</v>
      </c>
    </row>
    <row r="51" spans="3:8" x14ac:dyDescent="0.3">
      <c r="C51" s="32">
        <v>25</v>
      </c>
      <c r="D51" s="26">
        <f>+'[1]CONTROL DIA'!F50</f>
        <v>73.23</v>
      </c>
      <c r="E51" s="26">
        <f>+'[1]CONTROL DIA'!G50</f>
        <v>1374.53</v>
      </c>
      <c r="F51" s="9">
        <f>+'[1]CONTROL DIA'!H50</f>
        <v>2026.8639999999998</v>
      </c>
      <c r="G51" s="27">
        <f>+'[1]CONTROL DIA'!I50</f>
        <v>545</v>
      </c>
      <c r="H51" s="28">
        <f>+'[1]CONTROL DIA'!L50</f>
        <v>0.26888829245573459</v>
      </c>
    </row>
    <row r="52" spans="3:8" x14ac:dyDescent="0.3">
      <c r="C52" s="46">
        <v>26</v>
      </c>
      <c r="D52" s="26">
        <f>+'[1]CONTROL DIA'!F51</f>
        <v>59.35</v>
      </c>
      <c r="E52" s="26">
        <f>+'[1]CONTROL DIA'!G51</f>
        <v>415.37</v>
      </c>
      <c r="F52" s="9">
        <f>+'[1]CONTROL DIA'!H51</f>
        <v>664.60799999999995</v>
      </c>
      <c r="G52" s="27">
        <f>+'[1]CONTROL DIA'!I51</f>
        <v>238</v>
      </c>
      <c r="H52" s="28">
        <f>+'[1]CONTROL DIA'!L51</f>
        <v>0.35810583080552749</v>
      </c>
    </row>
    <row r="53" spans="3:8" x14ac:dyDescent="0.3">
      <c r="C53" s="46">
        <v>27</v>
      </c>
      <c r="D53" s="26">
        <f>+'[1]CONTROL DIA'!F52</f>
        <v>51.9</v>
      </c>
      <c r="E53" s="26">
        <f>+'[1]CONTROL DIA'!G52</f>
        <v>322.91000000000003</v>
      </c>
      <c r="F53" s="9">
        <f>+'[1]CONTROL DIA'!H52</f>
        <v>524.73399999999992</v>
      </c>
      <c r="G53" s="27">
        <f>+'[1]CONTROL DIA'!I52</f>
        <v>239</v>
      </c>
      <c r="H53" s="28">
        <f>+'[1]CONTROL DIA'!L52</f>
        <v>0.45546886613026799</v>
      </c>
    </row>
    <row r="54" spans="3:8" x14ac:dyDescent="0.3">
      <c r="C54" s="46">
        <v>28</v>
      </c>
      <c r="D54" s="26">
        <f>+'[1]CONTROL DIA'!F53</f>
        <v>55.73</v>
      </c>
      <c r="E54" s="26">
        <f>+'[1]CONTROL DIA'!G53</f>
        <v>192.74</v>
      </c>
      <c r="F54" s="9">
        <f>+'[1]CONTROL DIA'!H53</f>
        <v>347.858</v>
      </c>
      <c r="G54" s="27">
        <f>+'[1]CONTROL DIA'!I53</f>
        <v>23</v>
      </c>
      <c r="H54" s="28">
        <f>+'[1]CONTROL DIA'!L53</f>
        <v>6.611893358784332E-2</v>
      </c>
    </row>
    <row r="55" spans="3:8" x14ac:dyDescent="0.3">
      <c r="C55" s="46">
        <f>+'[1]CONTROL DIA'!C51</f>
        <v>29</v>
      </c>
      <c r="D55" s="26">
        <f>+'[1]CONTROL DIA'!F54</f>
        <v>57.77</v>
      </c>
      <c r="E55" s="26">
        <f>+'[1]CONTROL DIA'!G54</f>
        <v>36.14</v>
      </c>
      <c r="F55" s="9">
        <f>+'[1]CONTROL DIA'!H54</f>
        <v>131.47399999999999</v>
      </c>
      <c r="G55" s="27">
        <f>+'[1]CONTROL DIA'!I54</f>
        <v>0</v>
      </c>
      <c r="H55" s="28">
        <f>+'[1]CONTROL DIA'!L54</f>
        <v>0</v>
      </c>
    </row>
    <row r="56" spans="3:8" x14ac:dyDescent="0.3">
      <c r="C56" s="46">
        <f>+'[1]CONTROL DIA'!C52</f>
        <v>28</v>
      </c>
      <c r="D56" s="26">
        <f>+'[1]CONTROL DIA'!F55</f>
        <v>72.75</v>
      </c>
      <c r="E56" s="26">
        <f>+'[1]CONTROL DIA'!G55</f>
        <v>34.1</v>
      </c>
      <c r="F56" s="9">
        <f>+'[1]CONTROL DIA'!H55</f>
        <v>149.58999999999997</v>
      </c>
      <c r="G56" s="27">
        <f>+'[1]CONTROL DIA'!I55</f>
        <v>0</v>
      </c>
      <c r="H56" s="28">
        <f>+'[1]CONTROL DIA'!L55</f>
        <v>0</v>
      </c>
    </row>
    <row r="57" spans="3:8" x14ac:dyDescent="0.3">
      <c r="C57" s="46">
        <f>+'[1]CONTROL DIA'!C53</f>
        <v>27</v>
      </c>
      <c r="D57" s="26">
        <f>+'[1]CONTROL DIA'!F56</f>
        <v>65.91</v>
      </c>
      <c r="E57" s="26">
        <f>+'[1]CONTROL DIA'!G56</f>
        <v>39.67</v>
      </c>
      <c r="F57" s="9">
        <f>+'[1]CONTROL DIA'!H56</f>
        <v>147.81199999999998</v>
      </c>
      <c r="G57" s="27">
        <f>+'[1]CONTROL DIA'!I56</f>
        <v>0</v>
      </c>
      <c r="H57" s="28">
        <f>+'[1]CONTROL DIA'!L56</f>
        <v>0</v>
      </c>
    </row>
    <row r="58" spans="3:8" x14ac:dyDescent="0.3">
      <c r="C58" s="46">
        <f>+'[1]CONTROL DIA'!C54</f>
        <v>26</v>
      </c>
      <c r="D58" s="26">
        <f>+'[1]CONTROL DIA'!F57</f>
        <v>68</v>
      </c>
      <c r="E58" s="26">
        <f>+'[1]CONTROL DIA'!G57</f>
        <v>19.34</v>
      </c>
      <c r="F58" s="9">
        <f>+'[1]CONTROL DIA'!H57</f>
        <v>122.276</v>
      </c>
      <c r="G58" s="27">
        <f>+'[1]CONTROL DIA'!I57</f>
        <v>0</v>
      </c>
      <c r="H58" s="28">
        <f>+'[1]CONTROL DIA'!L57</f>
        <v>0</v>
      </c>
    </row>
    <row r="59" spans="3:8" x14ac:dyDescent="0.3">
      <c r="C59" s="46">
        <f>+'[1]CONTROL DIA'!C55</f>
        <v>24</v>
      </c>
      <c r="D59" s="26">
        <f>+'[1]CONTROL DIA'!F58</f>
        <v>78.52</v>
      </c>
      <c r="E59" s="26">
        <f>+'[1]CONTROL DIA'!G58</f>
        <v>0</v>
      </c>
      <c r="F59" s="9">
        <f>+'[1]CONTROL DIA'!H58</f>
        <v>109.92799999999998</v>
      </c>
      <c r="G59" s="27">
        <f>+'[1]CONTROL DIA'!I58</f>
        <v>0</v>
      </c>
      <c r="H59" s="28">
        <f>+'[1]CONTROL DIA'!L58</f>
        <v>0</v>
      </c>
    </row>
    <row r="60" spans="3:8" x14ac:dyDescent="0.3">
      <c r="C60" s="46">
        <f>+'[1]CONTROL DIA'!C56</f>
        <v>23</v>
      </c>
      <c r="D60" s="26">
        <f>+'[1]CONTROL DIA'!F59</f>
        <v>67.8</v>
      </c>
      <c r="E60" s="26">
        <f>+'[1]CONTROL DIA'!G59</f>
        <v>0</v>
      </c>
      <c r="F60" s="9">
        <f>+'[1]CONTROL DIA'!H59</f>
        <v>94.919999999999987</v>
      </c>
      <c r="G60" s="27">
        <f>+'[1]CONTROL DIA'!I59</f>
        <v>0</v>
      </c>
      <c r="H60" s="28">
        <f>+'[1]CONTROL DIA'!L59</f>
        <v>0</v>
      </c>
    </row>
    <row r="61" spans="3:8" x14ac:dyDescent="0.3">
      <c r="C61" s="46">
        <f>+'[1]CONTROL DIA'!C57</f>
        <v>22</v>
      </c>
      <c r="D61" s="26">
        <f>+'[1]CONTROL DIA'!F60</f>
        <v>70.97</v>
      </c>
      <c r="E61" s="26">
        <f>+'[1]CONTROL DIA'!G60</f>
        <v>34.940000000000005</v>
      </c>
      <c r="F61" s="9">
        <f>+'[1]CONTROL DIA'!H60</f>
        <v>148.27399999999997</v>
      </c>
      <c r="G61" s="27">
        <f>+'[1]CONTROL DIA'!I60</f>
        <v>0</v>
      </c>
      <c r="H61" s="28">
        <f>+'[1]CONTROL DIA'!L60</f>
        <v>0</v>
      </c>
    </row>
    <row r="62" spans="3:8" x14ac:dyDescent="0.3">
      <c r="C62" s="46">
        <f>+'[1]CONTROL DIA'!C58</f>
        <v>21</v>
      </c>
      <c r="D62" s="26">
        <f>+'[1]CONTROL DIA'!F61</f>
        <v>74.819999999999993</v>
      </c>
      <c r="E62" s="26">
        <f>+'[1]CONTROL DIA'!G61</f>
        <v>673.14</v>
      </c>
      <c r="F62" s="9">
        <f>+'[1]CONTROL DIA'!H61</f>
        <v>1047.144</v>
      </c>
      <c r="G62" s="27">
        <f>+'[1]CONTROL DIA'!I61</f>
        <v>0</v>
      </c>
      <c r="H62" s="28">
        <f>+'[1]CONTROL DIA'!L61</f>
        <v>0</v>
      </c>
    </row>
    <row r="63" spans="3:8" x14ac:dyDescent="0.3">
      <c r="C63" s="46">
        <f>+'[1]CONTROL DIA'!C59</f>
        <v>20</v>
      </c>
      <c r="D63" s="26">
        <f>+'[1]CONTROL DIA'!F62</f>
        <v>74.069999999999993</v>
      </c>
      <c r="E63" s="26">
        <f>+'[1]CONTROL DIA'!G62</f>
        <v>252.4</v>
      </c>
      <c r="F63" s="9">
        <f>+'[1]CONTROL DIA'!H62</f>
        <v>457.05799999999999</v>
      </c>
      <c r="G63" s="27">
        <f>+'[1]CONTROL DIA'!I62</f>
        <v>0</v>
      </c>
      <c r="H63" s="28">
        <f>+'[1]CONTROL DIA'!L62</f>
        <v>0</v>
      </c>
    </row>
    <row r="64" spans="3:8" x14ac:dyDescent="0.3">
      <c r="C64" s="46">
        <f>+'[1]CONTROL DIA'!C60</f>
        <v>19</v>
      </c>
      <c r="D64" s="26">
        <f>+'[1]CONTROL DIA'!F63</f>
        <v>63.26</v>
      </c>
      <c r="E64" s="26">
        <f>+'[1]CONTROL DIA'!G63</f>
        <v>784.53</v>
      </c>
      <c r="F64" s="9">
        <f>+'[1]CONTROL DIA'!H63</f>
        <v>1186.9059999999999</v>
      </c>
      <c r="G64" s="27">
        <f>+'[1]CONTROL DIA'!I63</f>
        <v>0</v>
      </c>
      <c r="H64" s="28">
        <f>+'[1]CONTROL DIA'!L63</f>
        <v>0</v>
      </c>
    </row>
    <row r="65" spans="3:8" x14ac:dyDescent="0.3">
      <c r="C65" s="46">
        <f>+'[1]CONTROL DIA'!C61</f>
        <v>18</v>
      </c>
      <c r="D65" s="26">
        <f>+'[1]CONTROL DIA'!F64</f>
        <v>53.56</v>
      </c>
      <c r="E65" s="26">
        <f>+'[1]CONTROL DIA'!G64</f>
        <v>204.09</v>
      </c>
      <c r="F65" s="9">
        <f>+'[1]CONTROL DIA'!H64</f>
        <v>360.70999999999992</v>
      </c>
      <c r="G65" s="27">
        <f>+'[1]CONTROL DIA'!I64</f>
        <v>0</v>
      </c>
      <c r="H65" s="28">
        <f>+'[1]CONTROL DIA'!L64</f>
        <v>0</v>
      </c>
    </row>
    <row r="66" spans="3:8" x14ac:dyDescent="0.3">
      <c r="C66" s="46">
        <f>+'[1]CONTROL DIA'!C62</f>
        <v>17</v>
      </c>
      <c r="D66" s="26">
        <f>+'[1]CONTROL DIA'!F65</f>
        <v>59.05</v>
      </c>
      <c r="E66" s="26">
        <f>+'[1]CONTROL DIA'!G65</f>
        <v>0</v>
      </c>
      <c r="F66" s="9">
        <f>+'[1]CONTROL DIA'!H65</f>
        <v>82.669999999999987</v>
      </c>
      <c r="G66" s="27">
        <f>+'[1]CONTROL DIA'!I65</f>
        <v>0</v>
      </c>
      <c r="H66" s="28">
        <f>+'[1]CONTROL DIA'!L65</f>
        <v>0</v>
      </c>
    </row>
    <row r="67" spans="3:8" x14ac:dyDescent="0.3">
      <c r="C67" s="46">
        <f>+'[1]CONTROL DIA'!C63</f>
        <v>16</v>
      </c>
      <c r="D67" s="26">
        <f>+'[1]CONTROL DIA'!F66</f>
        <v>55.18</v>
      </c>
      <c r="E67" s="26">
        <f>+'[1]CONTROL DIA'!G66</f>
        <v>5.759999999999998</v>
      </c>
      <c r="F67" s="9">
        <f>+'[1]CONTROL DIA'!H66</f>
        <v>85.315999999999988</v>
      </c>
      <c r="G67" s="27">
        <f>+'[1]CONTROL DIA'!I66</f>
        <v>0</v>
      </c>
      <c r="H67" s="28">
        <f>+'[1]CONTROL DIA'!L66</f>
        <v>0</v>
      </c>
    </row>
    <row r="68" spans="3:8" x14ac:dyDescent="0.3">
      <c r="C68" s="46">
        <f>+'[1]CONTROL DIA'!C64</f>
        <v>15</v>
      </c>
      <c r="D68" s="26">
        <f>+'[1]CONTROL DIA'!F67</f>
        <v>99.01</v>
      </c>
      <c r="E68" s="26">
        <f>+'[1]CONTROL DIA'!G67</f>
        <v>734.03</v>
      </c>
      <c r="F68" s="9">
        <f>+'[1]CONTROL DIA'!H67</f>
        <v>1166.2559999999999</v>
      </c>
      <c r="G68" s="27">
        <f>+'[1]CONTROL DIA'!I67</f>
        <v>0</v>
      </c>
      <c r="H68" s="28">
        <f>+'[1]CONTROL DIA'!L67</f>
        <v>0</v>
      </c>
    </row>
    <row r="69" spans="3:8" x14ac:dyDescent="0.3">
      <c r="C69" s="46">
        <f>+'[1]CONTROL DIA'!C65</f>
        <v>14</v>
      </c>
      <c r="D69" s="26">
        <f>+'[1]CONTROL DIA'!F68</f>
        <v>0</v>
      </c>
      <c r="E69" s="26">
        <f>+'[1]CONTROL DIA'!G68</f>
        <v>0</v>
      </c>
      <c r="F69" s="9">
        <f>+'[1]CONTROL DIA'!H68</f>
        <v>0</v>
      </c>
      <c r="G69" s="27">
        <f>+'[1]CONTROL DIA'!I68</f>
        <v>44</v>
      </c>
      <c r="H69" s="28">
        <f>+'[1]CONTROL DIA'!L68</f>
        <v>0</v>
      </c>
    </row>
    <row r="70" spans="3:8" x14ac:dyDescent="0.3">
      <c r="C70" s="46">
        <f>+'[1]CONTROL DIA'!C66</f>
        <v>13</v>
      </c>
      <c r="D70" s="26">
        <f>+'[1]CONTROL DIA'!F69</f>
        <v>0</v>
      </c>
      <c r="E70" s="26">
        <f>+'[1]CONTROL DIA'!G69</f>
        <v>0</v>
      </c>
      <c r="F70" s="9">
        <f>+'[1]CONTROL DIA'!H69</f>
        <v>0</v>
      </c>
      <c r="G70" s="27">
        <f>+'[1]CONTROL DIA'!I69</f>
        <v>268</v>
      </c>
      <c r="H70" s="28">
        <f>+'[1]CONTROL DIA'!L69</f>
        <v>0</v>
      </c>
    </row>
    <row r="71" spans="3:8" x14ac:dyDescent="0.3">
      <c r="C71" s="46">
        <f>+'[1]CONTROL DIA'!C67</f>
        <v>12</v>
      </c>
      <c r="D71" s="26">
        <f>+'[1]CONTROL DIA'!F70</f>
        <v>0</v>
      </c>
      <c r="E71" s="26">
        <f>+'[1]CONTROL DIA'!G70</f>
        <v>0</v>
      </c>
      <c r="F71" s="9">
        <f>+'[1]CONTROL DIA'!H70</f>
        <v>0</v>
      </c>
      <c r="G71" s="27">
        <f>+'[1]CONTROL DIA'!I70</f>
        <v>192</v>
      </c>
      <c r="H71" s="28">
        <f>+'[1]CONTROL DIA'!L70</f>
        <v>0</v>
      </c>
    </row>
    <row r="72" spans="3:8" x14ac:dyDescent="0.3">
      <c r="E72" s="47">
        <f>SUM(E14:E71)</f>
        <v>29353.099999999988</v>
      </c>
      <c r="F72" s="47">
        <f t="shared" ref="F72:G72" si="0">SUM(F14:F71)</f>
        <v>45248.839999999989</v>
      </c>
      <c r="G72" s="47">
        <f t="shared" si="0"/>
        <v>36964</v>
      </c>
    </row>
  </sheetData>
  <mergeCells count="8">
    <mergeCell ref="D12:G12"/>
    <mergeCell ref="K12:M12"/>
    <mergeCell ref="C5:D5"/>
    <mergeCell ref="J5:K5"/>
    <mergeCell ref="C6:D6"/>
    <mergeCell ref="J6:K6"/>
    <mergeCell ref="C7:D7"/>
    <mergeCell ref="J7:K7"/>
  </mergeCells>
  <conditionalFormatting sqref="H14:H7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{CABE18D7-F325-400F-8FB6-E9A059E65443}</x14:id>
        </ext>
      </extLst>
    </cfRule>
  </conditionalFormatting>
  <conditionalFormatting sqref="N14:N4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{FAEB496E-09DC-4C4B-A332-98BC3FB21FFC}</x14:id>
        </ext>
      </extLst>
    </cfRule>
  </conditionalFormatting>
  <pageMargins left="0.25" right="0.25" top="0.75" bottom="0.75" header="0.3" footer="0.3"/>
  <pageSetup paperSize="9" scale="6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BE18D7-F325-400F-8FB6-E9A059E654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H14:H71</xm:sqref>
        </x14:conditionalFormatting>
        <x14:conditionalFormatting xmlns:xm="http://schemas.microsoft.com/office/excel/2006/main">
          <x14:cfRule type="dataBar" id="{FAEB496E-09DC-4C4B-A332-98BC3FB21F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N14:N44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RESUMEN PRESENTACION</vt:lpstr>
      <vt:lpstr>'RESUMEN PRESENTACION'!Área_de_impresión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González</dc:creator>
  <cp:lastModifiedBy>Nicolás González</cp:lastModifiedBy>
  <dcterms:created xsi:type="dcterms:W3CDTF">2026-10-19T18:39:52Z</dcterms:created>
  <dcterms:modified xsi:type="dcterms:W3CDTF">2026-10-19T18:40:33Z</dcterms:modified>
</cp:coreProperties>
</file>